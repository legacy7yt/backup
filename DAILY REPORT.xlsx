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<sst xmlns="http://schemas.openxmlformats.org/spreadsheetml/2006/main" count="99" uniqueCount="78">
  <si>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</si>
  <si>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</si>
  <si>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</si>
  <si>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</si>
  <si>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</si>
  <si>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</si>
  <si>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</si>
  <si>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</si>
  <si>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</si>
  <si>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</si>
  <si>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</si>
  <si>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</si>
  <si>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</si>
  <si>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</si>
  <si>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</si>
  <si>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</si>
  <si>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</si>
  <si>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</si>
  <si>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</si>
  <si>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</si>
  <si>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</si>
  <si>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</si>
  <si>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</si>
  <si>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</si>
  <si>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</si>
  <si>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</si>
  <si>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</si>
  <si>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</si>
  <si>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</si>
  <si>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</si>
  <si>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</si>
  <si>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</si>
  <si>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</si>
  <si>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</si>
  <si>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</si>
  <si>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</si>
  <si>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</si>
  <si>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</si>
  <si>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</si>
  <si>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</si>
  <si>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</si>
  <si>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</si>
  <si>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</si>
  <si>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</si>
  <si>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</si>
  <si>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</si>
  <si>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</si>
  <si>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</si>
  <si>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</si>
  <si>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</si>
  <si>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</si>
  <si>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</si>
  <si>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</si>
  <si>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</si>
  <si>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</si>
  <si>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</si>
  <si>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</si>
  <si>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</si>
  <si>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</si>
  <si>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</si>
  <si>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</si>
  <si>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</si>
  <si>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</si>
  <si>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</si>
  <si>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</si>
  <si>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</si>
  <si>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</si>
  <si>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</si>
  <si>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</si>
  <si>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</si>
  <si>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</si>
  <si>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</si>
  <si>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</si>
  <si>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</si>
  <si>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</si>
  <si>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علي خط الانتاج الي الخزنات 11/12</t>
  </si>
  <si>
    <t>خارج خط الإنتاج . تم إيقافها عند الساعة 09:10 بسبب إرتفاع نسبة الملوحة .</t>
  </si>
  <si>
    <t>يتم ارسال ( 10 طن/ ساعة)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</si>
</sst>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6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1.7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180</v>
      </c>
      <c r="D11" s="25">
        <v>20</v>
      </c>
      <c r="E11" s="25"/>
      <c r="F11" s="25"/>
      <c r="G11" s="25">
        <v>15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6156</v>
      </c>
      <c r="C16" s="11">
        <f>C9+C10+C11</f>
        <v>996</v>
      </c>
      <c r="D16" s="11">
        <f>SUM(D9:D15)</f>
        <v>54</v>
      </c>
      <c r="E16" s="25"/>
      <c r="F16" s="11">
        <f>SUM(F12,F10,F11)</f>
        <v>11</v>
      </c>
      <c r="G16" s="11">
        <f>SUM(G9:G11)</f>
        <v>15</v>
      </c>
      <c r="H16" s="13" t="s">
        <v>14</v>
      </c>
      <c r="I16" s="11">
        <f>I9+I10+I11+I12+I13+I14+I15</f>
        <v>5160</v>
      </c>
      <c r="J16" s="11">
        <f>J9+J10+J11+J12+J13+J14+J15</f>
        <v>215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6156</v>
      </c>
      <c r="C21" s="25">
        <v>0</v>
      </c>
      <c r="D21" s="25">
        <v>20</v>
      </c>
      <c r="E21" s="25"/>
      <c r="F21" s="25">
        <v>1076</v>
      </c>
      <c r="G21" s="90">
        <v>144</v>
      </c>
      <c r="H21" s="90"/>
      <c r="I21" s="25"/>
      <c r="J21" s="25">
        <v>0</v>
      </c>
      <c r="K21" s="25">
        <v>0</v>
      </c>
      <c r="L21" s="95">
        <v>4916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0.44</v>
      </c>
      <c r="G22" s="94"/>
      <c r="H22" s="93"/>
      <c r="I22" s="49"/>
      <c r="J22" s="50"/>
      <c r="K22" s="50"/>
      <c r="L22" s="37">
        <v>0.52</v>
      </c>
      <c r="M22" s="37">
        <v>0.51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101</v>
      </c>
      <c r="C27" s="91"/>
      <c r="D27" s="91">
        <f>G27+F27</f>
        <v>11</v>
      </c>
      <c r="E27" s="91"/>
      <c r="F27" s="30">
        <v>0</v>
      </c>
      <c r="G27" s="92">
        <v>11</v>
      </c>
      <c r="H27" s="92"/>
      <c r="I27" s="91">
        <f>K27+L27+M27</f>
        <v>90</v>
      </c>
      <c r="J27" s="91"/>
      <c r="K27" s="30">
        <v>46</v>
      </c>
      <c r="L27" s="30">
        <v>10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94</v>
      </c>
      <c r="C28" s="91"/>
      <c r="D28" s="91">
        <f>F28+G28</f>
        <v>10</v>
      </c>
      <c r="E28" s="91"/>
      <c r="F28" s="31">
        <v>0</v>
      </c>
      <c r="G28" s="92">
        <v>10</v>
      </c>
      <c r="H28" s="92"/>
      <c r="I28" s="91">
        <f>K28+L28+M28</f>
        <v>84</v>
      </c>
      <c r="J28" s="91"/>
      <c r="K28" s="31">
        <v>60</v>
      </c>
      <c r="L28" s="31">
        <v>0</v>
      </c>
      <c r="M28" s="62">
        <v>24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7975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5875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0.71</v>
      </c>
      <c r="I33" s="89"/>
      <c r="J33" s="88">
        <v>0.74</v>
      </c>
      <c r="K33" s="89"/>
      <c r="L33" s="88">
        <v>0.87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/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2026-02-02T23:17:53Z</dcterms:modified>
  <cp:contentStatus/>
</cp:coreProperties>
</file>