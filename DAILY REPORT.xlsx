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<sst xmlns="http://schemas.openxmlformats.org/spreadsheetml/2006/main" count="102" uniqueCount="83">
  <si>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</si>
  <si>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</si>
  <si>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</si>
  <si>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</si>
  <si>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</si>
  <si>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</si>
  <si>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</si>
  <si>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</si>
  <si>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</si>
  <si>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</si>
  <si>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</si>
  <si>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</si>
  <si>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</si>
  <si>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</si>
  <si>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</si>
  <si>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</si>
  <si>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</si>
  <si>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</si>
  <si>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</si>
  <si>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</si>
  <si>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</si>
  <si>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</si>
  <si>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</si>
  <si>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</si>
  <si>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</si>
  <si>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</si>
  <si>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</si>
  <si>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</si>
  <si>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</si>
  <si>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</si>
  <si>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</si>
  <si>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</si>
  <si>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</si>
  <si>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</si>
  <si>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</si>
  <si>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</si>
  <si>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</si>
  <si>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</si>
  <si>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</si>
  <si>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</si>
  <si>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</si>
  <si>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</si>
  <si>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</si>
  <si>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</si>
  <si>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</si>
  <si>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</si>
  <si>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</si>
  <si>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</si>
  <si>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</si>
  <si>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</si>
  <si>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</si>
  <si>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</si>
  <si>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</si>
  <si>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</si>
  <si>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</si>
  <si>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</si>
  <si>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</si>
  <si>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</si>
  <si>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</si>
  <si>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</si>
  <si>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</si>
  <si>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</si>
  <si>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</si>
  <si>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</si>
  <si>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</si>
  <si>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</si>
  <si>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</si>
  <si>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</si>
  <si>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</si>
  <si>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</si>
  <si>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</si>
  <si>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</si>
  <si>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</si>
  <si>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</si>
  <si>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</si>
  <si>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</si>
  <si>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محمد بالخير</t>
  </si>
  <si>
    <t>.في انتظار وصول باقي المواد للتنفيذ اعمال العمرة السنوية</t>
  </si>
  <si>
    <t>علي خط الانتاج الي الخزانات 11/12</t>
  </si>
  <si>
    <t xml:space="preserve">المياه المحلاه المرسلة من تحلية اليوريا الي خزانات 11/12 مستمرة بمعدل50طن/الساعة . </t>
  </si>
  <si>
    <t>تحت اعمال الصيانة</t>
  </si>
  <si>
    <t>الوحدة رقم 4 تم ايقافها عند07:50 ودخلت بسبب نقص في البخارمن المصدر معمل الغاز وتم تشغيلها عند ساعة 08:15ودخلت علي خط الانتاج عند ساعة12:50 الي الخزانات 11/12.</t>
  </si>
  <si>
    <t>27/11/2025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</si>
</sst>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1" zoomScale="120" zoomScaleNormal="120" zoomScalePageLayoutView="120" workbookViewId="0">
      <selection activeCell="B5" sqref="B5:C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 t="s">
        <v>82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5.3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1608</v>
      </c>
      <c r="J11" s="25">
        <v>67</v>
      </c>
      <c r="K11" s="25">
        <v>7.9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5472</v>
      </c>
      <c r="C16" s="11">
        <f>C9+C10+C11</f>
        <v>1296</v>
      </c>
      <c r="D16" s="11">
        <f>SUM(D9:D15)</f>
        <v>54</v>
      </c>
      <c r="E16" s="25">
        <v>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4176</v>
      </c>
      <c r="J16" s="11">
        <f>J9+J10+J11+J12+J13+J14+J15</f>
        <v>174</v>
      </c>
      <c r="K16" s="25">
        <v>6</v>
      </c>
      <c r="L16" s="11">
        <f>SUM(L9:L15)</f>
        <v>60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5902</v>
      </c>
      <c r="C21" s="25">
        <v>0</v>
      </c>
      <c r="D21" s="25">
        <v>20</v>
      </c>
      <c r="E21" s="25"/>
      <c r="F21" s="25">
        <v>1296</v>
      </c>
      <c r="G21" s="78">
        <v>0</v>
      </c>
      <c r="H21" s="78"/>
      <c r="I21" s="25"/>
      <c r="J21" s="25">
        <v>0</v>
      </c>
      <c r="K21" s="25">
        <v>0</v>
      </c>
      <c r="L21" s="92">
        <v>4586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0.79</v>
      </c>
      <c r="F22" s="56">
        <v>0.93</v>
      </c>
      <c r="G22" s="90"/>
      <c r="H22" s="91"/>
      <c r="I22" s="49"/>
      <c r="J22" s="50"/>
      <c r="K22" s="50"/>
      <c r="L22" s="37">
        <v>0.97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86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64</v>
      </c>
      <c r="J27" s="95"/>
      <c r="K27" s="30">
        <v>24</v>
      </c>
      <c r="L27" s="30">
        <v>0</v>
      </c>
      <c r="M27" s="59">
        <v>40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80</v>
      </c>
      <c r="C28" s="95"/>
      <c r="D28" s="95">
        <f>F28+G28</f>
        <v>20</v>
      </c>
      <c r="E28" s="95"/>
      <c r="F28" s="31">
        <v>0</v>
      </c>
      <c r="G28" s="96">
        <v>20</v>
      </c>
      <c r="H28" s="96"/>
      <c r="I28" s="95">
        <f>K28+L28+M28</f>
        <v>60</v>
      </c>
      <c r="J28" s="95"/>
      <c r="K28" s="31">
        <v>26</v>
      </c>
      <c r="L28" s="31">
        <v>0</v>
      </c>
      <c r="M28" s="62">
        <v>34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7515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5415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71</v>
      </c>
      <c r="F33" s="98">
        <v>0</v>
      </c>
      <c r="G33" s="99"/>
      <c r="H33" s="98">
        <v>0.77</v>
      </c>
      <c r="I33" s="99"/>
      <c r="J33" s="98">
        <v>0.86</v>
      </c>
      <c r="K33" s="99"/>
      <c r="L33" s="98">
        <v>0.88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24400</v>
      </c>
      <c r="C37" s="77"/>
      <c r="D37" s="25">
        <v>100</v>
      </c>
      <c r="E37" s="78">
        <v>8000</v>
      </c>
      <c r="F37" s="78"/>
      <c r="G37" s="78">
        <v>9000</v>
      </c>
      <c r="H37" s="78"/>
      <c r="I37" s="25">
        <v>1500</v>
      </c>
      <c r="J37" s="25">
        <v>500</v>
      </c>
      <c r="K37" s="25">
        <v>0</v>
      </c>
      <c r="L37" s="25">
        <v>600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1920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72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77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78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80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70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79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76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2025-11-27T21:12:59Z</dcterms:modified>
  <cp:contentStatus/>
</cp:coreProperties>
</file>