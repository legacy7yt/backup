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<sst xmlns="http://schemas.openxmlformats.org/spreadsheetml/2006/main" count="100" uniqueCount="82">
  <si>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</si>
  <si>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</si>
  <si>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</si>
  <si>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</si>
  <si>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</si>
  <si>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</si>
  <si>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</si>
  <si>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</si>
  <si>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</si>
  <si>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</si>
  <si>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</si>
  <si>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</si>
  <si>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</si>
  <si>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</si>
  <si>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</si>
  <si>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</si>
  <si>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</si>
  <si>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</si>
  <si>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</si>
  <si>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</si>
  <si>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</si>
  <si>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</si>
  <si>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</si>
  <si>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</si>
  <si>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</si>
  <si>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</si>
  <si>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</si>
  <si>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</si>
  <si>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</si>
  <si>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</si>
  <si>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</si>
  <si>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</si>
  <si>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</si>
  <si>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</si>
  <si>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</si>
  <si>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</si>
  <si>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</si>
  <si>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</si>
  <si>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</si>
  <si>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</si>
  <si>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</si>
  <si>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</si>
  <si>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</si>
  <si>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</si>
  <si>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</si>
  <si>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</si>
  <si>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</si>
  <si>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</si>
  <si>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</si>
  <si>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</si>
  <si>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</si>
  <si>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</si>
  <si>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</si>
  <si>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</si>
  <si>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</si>
  <si>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</si>
  <si>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</si>
  <si>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</si>
  <si>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</si>
  <si>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</si>
  <si>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</si>
  <si>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</si>
  <si>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</si>
  <si>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</si>
  <si>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</si>
  <si>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</si>
  <si>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</si>
  <si>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</si>
  <si>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</si>
  <si>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</si>
  <si>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</si>
  <si>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</si>
  <si>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</si>
  <si>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تحت اعمال الصيانة</t>
  </si>
  <si>
    <t xml:space="preserve"> على خط الانتاج الي الخزان 1360.</t>
  </si>
  <si>
    <t>علي خط الانتاج الي الخزان 1360.</t>
  </si>
  <si>
    <t xml:space="preserve"> على خط الانتاج إلى خزانات 11/12.</t>
  </si>
  <si>
    <t>علي خط الانتاج الي الخزانات 11/12.</t>
  </si>
  <si>
    <t>على خط الانتاج إلى خزانات 11/12.</t>
  </si>
  <si>
    <t xml:space="preserve"> كمية البخار المرسلة من مصنع اليوريا إلى محطة التحليه الثانيه مستمرة بمعدل 12 طن / ساعة .</t>
  </si>
  <si>
    <t xml:space="preserve"> المياه المحلاة المرسلة من خزانات تحلية اليوريا الي خزانات 11/12 مستمرة بمعدل 30 ساعة</t>
  </si>
  <si>
    <t>عبدالسلام فايز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</si>
</sst>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7" zoomScale="130" zoomScaleNormal="130" zoomScalePageLayoutView="120" workbookViewId="0">
      <selection activeCell="L33" sqref="L33:M3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46142</v>
      </c>
      <c r="C5" s="98"/>
      <c r="D5" s="35" t="s">
        <v>4</v>
      </c>
      <c r="G5" s="99" t="s">
        <v>5</v>
      </c>
      <c r="H5" s="99"/>
      <c r="I5" s="99"/>
      <c r="L5" s="100"/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1272</v>
      </c>
      <c r="J9" s="23">
        <v>53</v>
      </c>
      <c r="K9" s="24">
        <v>7.5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/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6</v>
      </c>
      <c r="F11" s="25">
        <v>11</v>
      </c>
      <c r="G11" s="25"/>
      <c r="H11" s="11">
        <v>8</v>
      </c>
      <c r="I11" s="8">
        <f>J11*(24-M11)</f>
        <v>1392</v>
      </c>
      <c r="J11" s="25">
        <v>58</v>
      </c>
      <c r="K11" s="25">
        <v>8.1999999999999993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6.5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5376</v>
      </c>
      <c r="C16" s="11">
        <f>C9+C10+C11</f>
        <v>1440</v>
      </c>
      <c r="D16" s="11">
        <f>SUM(D9:D15)</f>
        <v>60</v>
      </c>
      <c r="E16" s="25">
        <v>4.3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3936</v>
      </c>
      <c r="J16" s="11">
        <f>J9+J10+J11+J12+J13+J14+J15</f>
        <v>164</v>
      </c>
      <c r="K16" s="25">
        <v>7.3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5376</v>
      </c>
      <c r="C21" s="25">
        <v>0</v>
      </c>
      <c r="D21" s="25">
        <v>20</v>
      </c>
      <c r="E21" s="25">
        <v>0</v>
      </c>
      <c r="F21" s="25">
        <v>1440</v>
      </c>
      <c r="G21" s="90"/>
      <c r="H21" s="90"/>
      <c r="I21" s="25"/>
      <c r="J21" s="25">
        <v>0</v>
      </c>
      <c r="K21" s="25">
        <v>0</v>
      </c>
      <c r="L21" s="95">
        <v>3916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0.65</v>
      </c>
      <c r="F22" s="56">
        <v>0.93</v>
      </c>
      <c r="G22" s="94"/>
      <c r="H22" s="93"/>
      <c r="I22" s="49"/>
      <c r="J22" s="50"/>
      <c r="K22" s="50"/>
      <c r="L22" s="37">
        <v>0.63</v>
      </c>
      <c r="M22" s="37">
        <v>0.63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92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70</v>
      </c>
      <c r="J27" s="91"/>
      <c r="K27" s="30">
        <v>41</v>
      </c>
      <c r="L27" s="30">
        <v>12</v>
      </c>
      <c r="M27" s="59">
        <v>17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85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65</v>
      </c>
      <c r="J28" s="91"/>
      <c r="K28" s="31">
        <v>57</v>
      </c>
      <c r="L28" s="31">
        <v>0</v>
      </c>
      <c r="M28" s="62">
        <v>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8149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6049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0.62</v>
      </c>
      <c r="G33" s="89"/>
      <c r="H33" s="88">
        <v>0.85</v>
      </c>
      <c r="I33" s="89"/>
      <c r="J33" s="88">
        <v>0.65</v>
      </c>
      <c r="K33" s="89"/>
      <c r="L33" s="88">
        <v>0.91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28050</v>
      </c>
      <c r="C37" s="87"/>
      <c r="D37" s="25">
        <v>100</v>
      </c>
      <c r="E37" s="90">
        <v>8000</v>
      </c>
      <c r="F37" s="90"/>
      <c r="G37" s="90">
        <v>10000</v>
      </c>
      <c r="H37" s="90"/>
      <c r="I37" s="25">
        <v>5000</v>
      </c>
      <c r="J37" s="25">
        <v>750</v>
      </c>
      <c r="K37" s="25">
        <v>200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720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74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75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76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70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77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78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73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71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72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80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79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81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2026-04-30T23:14:49Z</dcterms:modified>
  <cp:contentStatus/>
</cp:coreProperties>
</file>