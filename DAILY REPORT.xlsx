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<sst xmlns="http://schemas.openxmlformats.org/spreadsheetml/2006/main" count="100" uniqueCount="78">
  <si>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</si>
  <si>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</si>
  <si>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</si>
  <si>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</si>
  <si>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</si>
  <si>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</si>
  <si>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</si>
  <si>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</si>
  <si>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</si>
  <si>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</si>
  <si>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</si>
  <si>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</si>
  <si>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</si>
  <si>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</si>
  <si>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</si>
  <si>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</si>
  <si>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</si>
  <si>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</si>
  <si>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</si>
  <si>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</si>
  <si>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</si>
  <si>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</si>
  <si>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</si>
  <si>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</si>
  <si>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</si>
  <si>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</si>
  <si>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</si>
  <si>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</si>
  <si>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</si>
  <si>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</si>
  <si>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</si>
  <si>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</si>
  <si>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</si>
  <si>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</si>
  <si>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</si>
  <si>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</si>
  <si>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</si>
  <si>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</si>
  <si>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</si>
  <si>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</si>
  <si>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</si>
  <si>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</si>
  <si>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</si>
  <si>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</si>
  <si>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</si>
  <si>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</si>
  <si>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</si>
  <si>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</si>
  <si>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</si>
  <si>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</si>
  <si>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</si>
  <si>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</si>
  <si>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</si>
  <si>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</si>
  <si>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</si>
  <si>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</si>
  <si>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</si>
  <si>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</si>
  <si>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</si>
  <si>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</si>
  <si>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</si>
  <si>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</si>
  <si>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</si>
  <si>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</si>
  <si>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</si>
  <si>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</si>
  <si>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</si>
  <si>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</si>
  <si>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</si>
  <si>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</si>
  <si>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</si>
  <si>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</si>
  <si>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</si>
  <si>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</si>
  <si>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محمد بالخير</t>
  </si>
  <si>
    <t>يتم ارسال ( 15 طن/ ساعه ) من البخار من مصانع اليوريا الي التحلية الثانية.</t>
  </si>
  <si>
    <t>الوحدة رقم 5 دخلت علي خط الانتاج عند ساعة 01/20 الي الخزنات 11/12</t>
  </si>
  <si>
    <t xml:space="preserve">  المياة المحلاة من تحلية اليوريا الي تحلية  الخزانات 11/12 مستمرة بمعدل 10 /ساعة  تم توقيفهاء عند ساعة 09:45.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</si>
</sst>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45" zoomScaleNormal="145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46050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6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14</v>
      </c>
      <c r="F11" s="25">
        <v>11</v>
      </c>
      <c r="G11" s="25">
        <v>0</v>
      </c>
      <c r="H11" s="11">
        <v>8</v>
      </c>
      <c r="I11" s="8">
        <f>J11*(24-M11)</f>
        <v>1608</v>
      </c>
      <c r="J11" s="25">
        <v>67</v>
      </c>
      <c r="K11" s="25">
        <v>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684</v>
      </c>
      <c r="J13" s="25">
        <v>57</v>
      </c>
      <c r="K13" s="25">
        <v>20</v>
      </c>
      <c r="L13" s="25">
        <v>20</v>
      </c>
      <c r="M13" s="25">
        <v>12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6036</v>
      </c>
      <c r="C16" s="11">
        <f>C9+C10+C11</f>
        <v>1296</v>
      </c>
      <c r="D16" s="11">
        <f>SUM(D9:D15)</f>
        <v>54</v>
      </c>
      <c r="E16" s="25">
        <v>8.1999999999999993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4740</v>
      </c>
      <c r="J16" s="11">
        <f>J9+J10+J11+J12+J13+J14+J15</f>
        <v>226</v>
      </c>
      <c r="K16" s="25">
        <v>9.1999999999999993</v>
      </c>
      <c r="L16" s="11">
        <f>SUM(L9:L15)</f>
        <v>80</v>
      </c>
      <c r="M16" s="11">
        <f>SUM(M9:M15)</f>
        <v>84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6036</v>
      </c>
      <c r="C21" s="25">
        <v>0</v>
      </c>
      <c r="D21" s="25">
        <v>20</v>
      </c>
      <c r="E21" s="25"/>
      <c r="F21" s="25">
        <v>1296</v>
      </c>
      <c r="G21" s="90">
        <v>684</v>
      </c>
      <c r="H21" s="90"/>
      <c r="I21" s="25"/>
      <c r="J21" s="25">
        <v>0</v>
      </c>
      <c r="K21" s="25">
        <v>0</v>
      </c>
      <c r="L21" s="95">
        <v>4036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0.76</v>
      </c>
      <c r="F22" s="56">
        <v>0.65</v>
      </c>
      <c r="G22" s="94"/>
      <c r="H22" s="93"/>
      <c r="I22" s="49"/>
      <c r="J22" s="50"/>
      <c r="K22" s="50"/>
      <c r="L22" s="37">
        <v>0.52</v>
      </c>
      <c r="M22" s="37">
        <v>0.54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43</v>
      </c>
      <c r="L27" s="30">
        <v>15</v>
      </c>
      <c r="M27" s="59">
        <v>26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100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79</v>
      </c>
      <c r="J28" s="91"/>
      <c r="K28" s="31">
        <v>44</v>
      </c>
      <c r="L28" s="31">
        <v>0</v>
      </c>
      <c r="M28" s="62">
        <v>35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5787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3687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0.85</v>
      </c>
      <c r="I33" s="89"/>
      <c r="J33" s="88">
        <v>0.76</v>
      </c>
      <c r="K33" s="89"/>
      <c r="L33" s="88">
        <v>0.88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28200</v>
      </c>
      <c r="C37" s="87"/>
      <c r="D37" s="25">
        <v>100</v>
      </c>
      <c r="E37" s="90">
        <v>7300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76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2026-01-29T17:03:32Z</dcterms:modified>
  <cp:contentStatus/>
</cp:coreProperties>
</file>