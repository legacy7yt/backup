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<sst xmlns="http://schemas.openxmlformats.org/spreadsheetml/2006/main" count="101" uniqueCount="81">
  <si>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</si>
  <si>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</si>
  <si>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</si>
  <si>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</si>
  <si>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</si>
  <si>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</si>
  <si>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</si>
  <si>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</si>
  <si>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</si>
  <si>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</si>
  <si>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</si>
  <si>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</si>
  <si>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</si>
  <si>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</si>
  <si>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</si>
  <si>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</si>
  <si>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</si>
  <si>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</si>
  <si>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</si>
  <si>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</si>
  <si>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</si>
  <si>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</si>
  <si>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</si>
  <si>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</si>
  <si>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</si>
  <si>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</si>
  <si>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</si>
  <si>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</si>
  <si>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</si>
  <si>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</si>
  <si>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</si>
  <si>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</si>
  <si>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</si>
  <si>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</si>
  <si>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</si>
  <si>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</si>
  <si>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</si>
  <si>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</si>
  <si>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</si>
  <si>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</si>
  <si>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</si>
  <si>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</si>
  <si>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</si>
  <si>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</si>
  <si>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</si>
  <si>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</si>
  <si>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</si>
  <si>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</si>
  <si>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</si>
  <si>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</si>
  <si>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</si>
  <si>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</si>
  <si>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</si>
  <si>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</si>
  <si>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</si>
  <si>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</si>
  <si>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</si>
  <si>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</si>
  <si>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</si>
  <si>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</si>
  <si>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</si>
  <si>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</si>
  <si>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</si>
  <si>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</si>
  <si>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</si>
  <si>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</si>
  <si>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</si>
  <si>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</si>
  <si>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</si>
  <si>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</si>
  <si>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</si>
  <si>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</si>
  <si>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</si>
  <si>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 xml:space="preserve">على خط الإنتاج إلى خزانات 11/12. </t>
  </si>
  <si>
    <t>حماتة محمد</t>
  </si>
  <si>
    <t>علي خط الانتاج الي خزان 1360.</t>
  </si>
  <si>
    <t xml:space="preserve"> علي خط الانتاج الي خزان 1360 .</t>
  </si>
  <si>
    <t>تم تشغيلها الساعة 17:00 دخلت خط انتاج السكنيةالساعة 18:50دخلت على خط الانتاج الى خزنات 11/12 الساعة 22:00</t>
  </si>
  <si>
    <t>تم ايقاف المياه المحلاه المرسلة من تحلية اليوريا عند الساعة16:15 **تم البدء في ارسال المياه المحلاه  من خزان 1360 إلى خزانات 11/12 عند الساعة 07:30 وتم الايقاف الساعة 21:55</t>
  </si>
  <si>
    <t>جاري ارسال7طن من البخار من مصانع اليوريا الي التحلية الثانية.</t>
  </si>
  <si>
    <t>19/12/2025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</si>
</sst>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Normal="100" zoomScalePageLayoutView="120" workbookViewId="0">
      <selection activeCell="B5" sqref="B5:C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 t="s">
        <v>80</v>
      </c>
      <c r="C5" s="99"/>
      <c r="D5" s="35" t="s">
        <v>4</v>
      </c>
      <c r="G5" s="100" t="s">
        <v>5</v>
      </c>
      <c r="H5" s="100"/>
      <c r="I5" s="100"/>
      <c r="L5" s="101">
        <v>0</v>
      </c>
      <c r="M5" s="101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2.9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270</v>
      </c>
      <c r="J13" s="25">
        <v>54</v>
      </c>
      <c r="K13" s="25">
        <v>16</v>
      </c>
      <c r="L13" s="25">
        <v>20</v>
      </c>
      <c r="M13" s="25">
        <v>19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5670</v>
      </c>
      <c r="C16" s="11">
        <f>C9+C10+C11</f>
        <v>1296</v>
      </c>
      <c r="D16" s="11">
        <f>SUM(D9:D15)</f>
        <v>54</v>
      </c>
      <c r="E16" s="25">
        <v>2.7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4374</v>
      </c>
      <c r="J16" s="11">
        <f>J9+J10+J11+J12+J13+J14+J15</f>
        <v>225</v>
      </c>
      <c r="K16" s="25">
        <v>7.7</v>
      </c>
      <c r="L16" s="11">
        <f>SUM(L9:L15)</f>
        <v>80</v>
      </c>
      <c r="M16" s="11">
        <f>SUM(M9:M15)</f>
        <v>91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5670</v>
      </c>
      <c r="C21" s="25">
        <v>0</v>
      </c>
      <c r="D21" s="25">
        <v>20</v>
      </c>
      <c r="E21" s="25">
        <v>0</v>
      </c>
      <c r="F21" s="25">
        <v>540</v>
      </c>
      <c r="G21" s="90">
        <v>162</v>
      </c>
      <c r="H21" s="90"/>
      <c r="I21" s="25">
        <v>300</v>
      </c>
      <c r="J21" s="25">
        <v>0</v>
      </c>
      <c r="K21" s="25">
        <v>0</v>
      </c>
      <c r="L21" s="95">
        <v>4948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0.73</v>
      </c>
      <c r="G22" s="94"/>
      <c r="H22" s="93"/>
      <c r="I22" s="49"/>
      <c r="J22" s="50"/>
      <c r="K22" s="50"/>
      <c r="L22" s="37">
        <v>0.79</v>
      </c>
      <c r="M22" s="37">
        <v>0.8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112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90</v>
      </c>
      <c r="J27" s="91"/>
      <c r="K27" s="30">
        <v>37</v>
      </c>
      <c r="L27" s="30">
        <v>7</v>
      </c>
      <c r="M27" s="59">
        <v>46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105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84</v>
      </c>
      <c r="J28" s="91"/>
      <c r="K28" s="31">
        <v>45</v>
      </c>
      <c r="L28" s="31">
        <v>0</v>
      </c>
      <c r="M28" s="62">
        <v>39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7565</v>
      </c>
      <c r="C32" s="91"/>
      <c r="D32" s="90">
        <v>0</v>
      </c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5465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0.81</v>
      </c>
      <c r="I33" s="89"/>
      <c r="J33" s="88">
        <v>0.83</v>
      </c>
      <c r="K33" s="89"/>
      <c r="L33" s="88">
        <v>0.99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7100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6" t="s">
        <v>51</v>
      </c>
      <c r="G39" s="107"/>
      <c r="H39" s="90">
        <v>395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5" t="s">
        <v>58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60"/>
      <c r="N40" s="19" t="s">
        <v>38</v>
      </c>
      <c r="O40" s="7"/>
    </row>
    <row r="41" spans="1:33" ht="15" customHeight="1">
      <c r="A41" s="5"/>
      <c r="B41" s="75" t="s">
        <v>75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76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8" t="s">
        <v>59</v>
      </c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10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77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78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79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74</v>
      </c>
      <c r="C57" s="104" t="s">
        <v>41</v>
      </c>
      <c r="D57" s="104"/>
      <c r="E57" s="103"/>
      <c r="F57" s="103"/>
      <c r="G57" s="103"/>
      <c r="H57" s="103"/>
      <c r="I57" s="103"/>
      <c r="J57" s="103"/>
      <c r="K57" s="103"/>
      <c r="L57" s="103"/>
      <c r="M57" s="103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kPdltwDaZG/lx2R1+OoyTq4N4WHOvX7hlkuhZPJS7CAj2iNaJXwtRrak/yqtlLc26G0EEV7txKHLawsBID3rLQ==" saltValue="lJp3Pmmzfl9+2U+cX1SxiA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2025-12-19T22:54:07Z</dcterms:modified>
  <cp:contentStatus/>
</cp:coreProperties>
</file>