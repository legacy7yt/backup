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<sst xmlns="http://schemas.openxmlformats.org/spreadsheetml/2006/main" count="101" uniqueCount="82">
  <si>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</si>
  <si>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</si>
  <si>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</si>
  <si>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</si>
  <si>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</si>
  <si>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</si>
  <si>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</si>
  <si>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</si>
  <si>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</si>
  <si>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</si>
  <si>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</si>
  <si>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</si>
  <si>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</si>
  <si>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</si>
  <si>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</si>
  <si>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</si>
  <si>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</si>
  <si>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</si>
  <si>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</si>
  <si>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</si>
  <si>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</si>
  <si>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</si>
  <si>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</si>
  <si>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</si>
  <si>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</si>
  <si>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</si>
  <si>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</si>
  <si>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</si>
  <si>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</si>
  <si>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</si>
  <si>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</si>
  <si>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</si>
  <si>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</si>
  <si>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</si>
  <si>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</si>
  <si>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</si>
  <si>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</si>
  <si>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</si>
  <si>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</si>
  <si>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</si>
  <si>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</si>
  <si>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</si>
  <si>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</si>
  <si>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</si>
  <si>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</si>
  <si>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</si>
  <si>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</si>
  <si>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</si>
  <si>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</si>
  <si>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</si>
  <si>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</si>
  <si>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</si>
  <si>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</si>
  <si>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</si>
  <si>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</si>
  <si>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</si>
  <si>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</si>
  <si>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</si>
  <si>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</si>
  <si>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</si>
  <si>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</si>
  <si>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</si>
  <si>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</si>
  <si>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</si>
  <si>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</si>
  <si>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</si>
  <si>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</si>
  <si>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</si>
  <si>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</si>
  <si>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</si>
  <si>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</si>
  <si>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</si>
  <si>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</si>
  <si>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</si>
  <si>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</si>
  <si>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</si>
  <si>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</si>
  <si>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>متوقفة لغرض الصيانة .</t>
  </si>
  <si>
    <t>تم تشغيلها عند الساعة 11:30 ولا تزال خارج خط الإنتاج .</t>
  </si>
  <si>
    <t>الوحدة رقم 7 تم تشغيلها عند الساعة 11:30 ولا تزال خارج خط الإنتاج .</t>
  </si>
  <si>
    <t xml:space="preserve"> المياه المحلاه المرسلة من خزان 11/12 إلى خزان 1360 مستمرة بمعدل 50 طن/الساعة  .</t>
  </si>
  <si>
    <t xml:space="preserve">المياه المحلاه المرسلة من تحلية اليوريا مستمرة بمعدل 45 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</si>
</sst>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25" zoomScale="120" zoomScaleNormal="120" zoomScalePageLayoutView="120" workbookViewId="0">
      <selection activeCell="D37" sqref="D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46003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0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4104</v>
      </c>
      <c r="C16" s="11">
        <f>C9+C10+C11</f>
        <v>0</v>
      </c>
      <c r="D16" s="11">
        <f>SUM(D9:D15)</f>
        <v>0</v>
      </c>
      <c r="E16" s="25"/>
      <c r="F16" s="11">
        <f>SUM(F12,F10,F11)</f>
        <v>11</v>
      </c>
      <c r="G16" s="11">
        <f>SUM(G9:G11)</f>
        <v>48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4104</v>
      </c>
      <c r="C21" s="25">
        <v>0</v>
      </c>
      <c r="D21" s="25">
        <v>20</v>
      </c>
      <c r="E21" s="25"/>
      <c r="F21" s="25">
        <v>960</v>
      </c>
      <c r="G21" s="78"/>
      <c r="H21" s="78"/>
      <c r="I21" s="25"/>
      <c r="J21" s="25">
        <v>0</v>
      </c>
      <c r="K21" s="25">
        <v>0</v>
      </c>
      <c r="L21" s="92">
        <v>3124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0.16</v>
      </c>
      <c r="G22" s="90"/>
      <c r="H22" s="91"/>
      <c r="I22" s="49"/>
      <c r="J22" s="50"/>
      <c r="K22" s="50"/>
      <c r="L22" s="37">
        <v>0.88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75</v>
      </c>
      <c r="C27" s="95"/>
      <c r="D27" s="95">
        <f>G27+F27</f>
        <v>11</v>
      </c>
      <c r="E27" s="95"/>
      <c r="F27" s="30">
        <v>0</v>
      </c>
      <c r="G27" s="96">
        <v>11</v>
      </c>
      <c r="H27" s="96"/>
      <c r="I27" s="95">
        <f>K27+L27+M27</f>
        <v>64</v>
      </c>
      <c r="J27" s="95"/>
      <c r="K27" s="30">
        <v>20</v>
      </c>
      <c r="L27" s="30">
        <v>0</v>
      </c>
      <c r="M27" s="59">
        <v>44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69</v>
      </c>
      <c r="C28" s="95"/>
      <c r="D28" s="95">
        <f>F28+G28</f>
        <v>10</v>
      </c>
      <c r="E28" s="95"/>
      <c r="F28" s="31">
        <v>0</v>
      </c>
      <c r="G28" s="96">
        <v>10</v>
      </c>
      <c r="H28" s="96"/>
      <c r="I28" s="95">
        <f>K28+L28+M28</f>
        <v>59</v>
      </c>
      <c r="J28" s="95"/>
      <c r="K28" s="31">
        <v>59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6823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4723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0.83</v>
      </c>
      <c r="I33" s="99"/>
      <c r="J33" s="98">
        <v>0.78</v>
      </c>
      <c r="K33" s="99"/>
      <c r="L33" s="98">
        <v>0.95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23700</v>
      </c>
      <c r="C37" s="77"/>
      <c r="D37" s="25">
        <v>100</v>
      </c>
      <c r="E37" s="78">
        <v>7100</v>
      </c>
      <c r="F37" s="78"/>
      <c r="G37" s="78">
        <v>10000</v>
      </c>
      <c r="H37" s="78"/>
      <c r="I37" s="25">
        <v>1500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1320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73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81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80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2025-12-13T03:18:21Z</dcterms:modified>
  <cp:contentStatus/>
</cp:coreProperties>
</file>