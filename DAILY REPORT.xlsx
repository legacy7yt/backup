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<sst xmlns="http://schemas.openxmlformats.org/spreadsheetml/2006/main" count="101" uniqueCount="81">
  <si>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</si>
  <si>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</si>
  <si>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</si>
  <si>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</si>
  <si>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</si>
  <si>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</si>
  <si>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</si>
  <si>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</si>
  <si>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</si>
  <si>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</si>
  <si>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</si>
  <si>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</si>
  <si>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</si>
  <si>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</si>
  <si>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</si>
  <si>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</si>
  <si>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</si>
  <si>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</si>
  <si>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</si>
  <si>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</si>
  <si>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</si>
  <si>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</si>
  <si>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</si>
  <si>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</si>
  <si>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</si>
  <si>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</si>
  <si>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</si>
  <si>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</si>
  <si>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</si>
  <si>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</si>
  <si>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</si>
  <si>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</si>
  <si>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</si>
  <si>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</si>
  <si>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</si>
  <si>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</si>
  <si>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</si>
  <si>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</si>
  <si>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</si>
  <si>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</si>
  <si>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</si>
  <si>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</si>
  <si>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</si>
  <si>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</si>
  <si>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</si>
  <si>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</si>
  <si>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</si>
  <si>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</si>
  <si>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</si>
  <si>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</si>
  <si>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</si>
  <si>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</si>
  <si>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</si>
  <si>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</si>
  <si>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</si>
  <si>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</si>
  <si>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</si>
  <si>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</si>
  <si>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</si>
  <si>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</si>
  <si>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</si>
  <si>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</si>
  <si>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</si>
  <si>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</si>
  <si>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</si>
  <si>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</si>
  <si>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</si>
  <si>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</si>
  <si>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</si>
  <si>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جاري التجهيز للبدء في أعمال العمرة الشاملة وفى انتظار توريد باقى قطع الغيار.</t>
  </si>
  <si>
    <t>تحت إجراءات التخريد.</t>
  </si>
  <si>
    <t>الخزان 202 لازال تحت أعمال الصيانة.</t>
  </si>
  <si>
    <t>%</t>
  </si>
  <si>
    <t xml:space="preserve">على خط الإنتاج إلى خزانات 11/12 . </t>
  </si>
  <si>
    <t>علي خط الانتاج الي خزانات 11/12.</t>
  </si>
  <si>
    <t xml:space="preserve">المياه المحلاه المرسلة من تحلية اليوريا الي خزانات 11/12 مستمرة بمعدل40 طن/الساعة . </t>
  </si>
  <si>
    <t>على خط الإنتاج إلى خزان  1360    .</t>
  </si>
  <si>
    <t>على  خط الانتاج الى خزان 1360    .</t>
  </si>
  <si>
    <t>محمد بالخير</t>
  </si>
  <si>
    <t>تم ايقافها عند ساعة10:00 بسبب فصل التيارة  الكهربائ علي مفتاح الرايسيئ في مصنع اليوريا</t>
  </si>
  <si>
    <t>22/11/2025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</si>
</sst>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1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4" fontId="0" fillId="0" borderId="0" xfId="0" applyNumberFormat="1" applyAlignment="1" applyProtection="1">
      <alignment horizontal="center" vertical="center"/>
      <protection locked="0"/>
    </xf>
    <xf numFmtId="0" fontId="0" fillId="0" borderId="0" xfId="0" applyNumberFormat="1" applyAlignment="1" applyProtection="1">
      <alignment horizontal="center" vertical="center"/>
      <protection locked="0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view="pageLayout" topLeftCell="B1" zoomScale="120" zoomScaleNormal="120" zoomScalePageLayoutView="120" workbookViewId="0">
      <selection activeCell="K16" sqref="K16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 t="s">
        <v>80</v>
      </c>
      <c r="C5" s="99"/>
      <c r="D5" s="35" t="s">
        <v>4</v>
      </c>
      <c r="G5" s="100" t="s">
        <v>5</v>
      </c>
      <c r="H5" s="100"/>
      <c r="I5" s="100"/>
      <c r="L5" s="101">
        <v>0</v>
      </c>
      <c r="M5" s="101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1296</v>
      </c>
      <c r="J9" s="23">
        <v>54</v>
      </c>
      <c r="K9" s="24">
        <v>4.5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2.7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2</v>
      </c>
      <c r="F11" s="25">
        <v>11</v>
      </c>
      <c r="G11" s="25">
        <v>0</v>
      </c>
      <c r="H11" s="11">
        <v>8</v>
      </c>
      <c r="I11" s="8">
        <f>J11*(24-M11)</f>
        <v>1608</v>
      </c>
      <c r="J11" s="25">
        <v>67</v>
      </c>
      <c r="K11" s="25">
        <v>9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0</v>
      </c>
      <c r="J12" s="25"/>
      <c r="K12" s="25"/>
      <c r="L12" s="25">
        <v>20</v>
      </c>
      <c r="M12" s="25">
        <v>22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1200</v>
      </c>
      <c r="J13" s="25">
        <v>50</v>
      </c>
      <c r="K13" s="25">
        <v>10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5400</v>
      </c>
      <c r="C16" s="11">
        <f>C9+C10+C11</f>
        <v>1296</v>
      </c>
      <c r="D16" s="11">
        <f>SUM(D9:D15)</f>
        <v>54</v>
      </c>
      <c r="E16" s="25">
        <v>2.2999999999999998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4104</v>
      </c>
      <c r="J16" s="11">
        <f>J9+J10+J11+J12+J13+J14+J15</f>
        <v>171</v>
      </c>
      <c r="K16" s="25">
        <v>7.8</v>
      </c>
      <c r="L16" s="11">
        <f>SUM(L9:L15)</f>
        <v>80</v>
      </c>
      <c r="M16" s="11">
        <f>SUM(M9:M15)</f>
        <v>94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5882</v>
      </c>
      <c r="C21" s="25">
        <v>0</v>
      </c>
      <c r="D21" s="25">
        <v>20</v>
      </c>
      <c r="E21" s="25"/>
      <c r="F21" s="25">
        <v>1296</v>
      </c>
      <c r="G21" s="90">
        <v>0</v>
      </c>
      <c r="H21" s="90"/>
      <c r="I21" s="25"/>
      <c r="J21" s="25">
        <v>0</v>
      </c>
      <c r="K21" s="25">
        <v>0</v>
      </c>
      <c r="L21" s="95">
        <v>4566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0.92</v>
      </c>
      <c r="F22" s="56">
        <v>0.9</v>
      </c>
      <c r="G22" s="94"/>
      <c r="H22" s="93"/>
      <c r="I22" s="49"/>
      <c r="J22" s="50"/>
      <c r="K22" s="50"/>
      <c r="L22" s="37">
        <v>0.59</v>
      </c>
      <c r="M22" s="37">
        <v>0.59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96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74</v>
      </c>
      <c r="J27" s="91"/>
      <c r="K27" s="30">
        <v>33</v>
      </c>
      <c r="L27" s="30">
        <v>0</v>
      </c>
      <c r="M27" s="59">
        <v>41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97</v>
      </c>
      <c r="C28" s="91"/>
      <c r="D28" s="91">
        <f>F28+G28</f>
        <v>21</v>
      </c>
      <c r="E28" s="91"/>
      <c r="F28" s="31">
        <v>0</v>
      </c>
      <c r="G28" s="92">
        <v>21</v>
      </c>
      <c r="H28" s="92"/>
      <c r="I28" s="91">
        <f>K28+L28+M28</f>
        <v>76</v>
      </c>
      <c r="J28" s="91"/>
      <c r="K28" s="31">
        <v>38</v>
      </c>
      <c r="L28" s="31">
        <v>0</v>
      </c>
      <c r="M28" s="62">
        <v>38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7427</v>
      </c>
      <c r="C32" s="91"/>
      <c r="D32" s="90">
        <v>0</v>
      </c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5327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72</v>
      </c>
      <c r="F33" s="88">
        <v>0</v>
      </c>
      <c r="G33" s="89"/>
      <c r="H33" s="88">
        <v>0.96</v>
      </c>
      <c r="I33" s="89"/>
      <c r="J33" s="88">
        <v>0.72</v>
      </c>
      <c r="K33" s="89"/>
      <c r="L33" s="88">
        <v>0.98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2"/>
      <c r="W36" s="102"/>
      <c r="X36" s="102"/>
      <c r="Y36" s="102"/>
      <c r="Z36" s="102"/>
      <c r="AA36" s="102"/>
      <c r="AB36" s="102"/>
      <c r="AC36" s="102"/>
      <c r="AD36" s="102"/>
      <c r="AE36" s="102"/>
      <c r="AF36" s="102"/>
      <c r="AG36" s="102"/>
    </row>
    <row r="37" spans="1:33" ht="15.95" customHeight="1">
      <c r="A37" s="5"/>
      <c r="B37" s="87">
        <f>SUM(D37:N37)</f>
        <v>23300</v>
      </c>
      <c r="C37" s="87"/>
      <c r="D37" s="25">
        <v>100</v>
      </c>
      <c r="E37" s="90">
        <v>8000</v>
      </c>
      <c r="F37" s="90"/>
      <c r="G37" s="90">
        <v>9000</v>
      </c>
      <c r="H37" s="90"/>
      <c r="I37" s="25">
        <v>1500</v>
      </c>
      <c r="J37" s="25">
        <v>500</v>
      </c>
      <c r="K37" s="25">
        <v>0</v>
      </c>
      <c r="L37" s="25">
        <v>300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6" t="s">
        <v>51</v>
      </c>
      <c r="G39" s="107"/>
      <c r="H39" s="90">
        <v>960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5" t="s">
        <v>58</v>
      </c>
      <c r="C40" s="105"/>
      <c r="D40" s="105"/>
      <c r="E40" s="105"/>
      <c r="F40" s="105"/>
      <c r="G40" s="105"/>
      <c r="H40" s="105"/>
      <c r="I40" s="105"/>
      <c r="J40" s="105"/>
      <c r="K40" s="105"/>
      <c r="L40" s="105"/>
      <c r="M40" s="60"/>
      <c r="N40" s="19" t="s">
        <v>38</v>
      </c>
      <c r="O40" s="7"/>
    </row>
    <row r="41" spans="1:33" ht="15" customHeight="1">
      <c r="A41" s="5"/>
      <c r="B41" s="75" t="s">
        <v>76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77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8" t="s">
        <v>59</v>
      </c>
      <c r="C44" s="109"/>
      <c r="D44" s="109"/>
      <c r="E44" s="109"/>
      <c r="F44" s="109"/>
      <c r="G44" s="109"/>
      <c r="H44" s="109"/>
      <c r="I44" s="109"/>
      <c r="J44" s="109"/>
      <c r="K44" s="109"/>
      <c r="L44" s="109"/>
      <c r="M44" s="109"/>
      <c r="N44" s="110"/>
      <c r="O44" s="7"/>
    </row>
    <row r="45" spans="1:33">
      <c r="A45" s="5"/>
      <c r="B45" s="74" t="s">
        <v>73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69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74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79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74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70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70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82" t="s">
        <v>68</v>
      </c>
      <c r="C52" s="83"/>
      <c r="D52" s="83"/>
      <c r="E52" s="83"/>
      <c r="F52" s="83"/>
      <c r="G52" s="83"/>
      <c r="H52" s="83"/>
      <c r="I52" s="83"/>
      <c r="J52" s="83"/>
      <c r="K52" s="83"/>
      <c r="L52" s="83"/>
      <c r="M52" s="83"/>
      <c r="N52" s="84"/>
      <c r="O52" s="7"/>
    </row>
    <row r="53" spans="1:23" ht="15.75" customHeight="1">
      <c r="A53" s="5"/>
      <c r="B53" s="77" t="s">
        <v>71</v>
      </c>
      <c r="C53" s="78"/>
      <c r="D53" s="78"/>
      <c r="E53" s="78"/>
      <c r="F53" s="78"/>
      <c r="G53" s="78"/>
      <c r="H53" s="78"/>
      <c r="I53" s="78"/>
      <c r="J53" s="78"/>
      <c r="K53" s="78"/>
      <c r="L53" s="78"/>
      <c r="M53" s="79"/>
      <c r="N53" s="65">
        <v>-1</v>
      </c>
      <c r="O53" s="7"/>
    </row>
    <row r="54" spans="1:23" ht="14.25" customHeight="1">
      <c r="A54" s="5"/>
      <c r="B54" s="80" t="s">
        <v>75</v>
      </c>
      <c r="C54" s="80"/>
      <c r="D54" s="80"/>
      <c r="E54" s="80"/>
      <c r="F54" s="80"/>
      <c r="G54" s="80"/>
      <c r="H54" s="80"/>
      <c r="I54" s="80"/>
      <c r="J54" s="80"/>
      <c r="K54" s="80"/>
      <c r="L54" s="80"/>
      <c r="M54" s="81"/>
      <c r="N54" s="65">
        <v>-2</v>
      </c>
      <c r="O54" s="7"/>
    </row>
    <row r="55" spans="1:23" ht="14.25" customHeight="1">
      <c r="A55" s="5"/>
      <c r="B55" s="76"/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77"/>
      <c r="C56" s="78"/>
      <c r="D56" s="78"/>
      <c r="E56" s="78"/>
      <c r="F56" s="78"/>
      <c r="G56" s="78"/>
      <c r="H56" s="78"/>
      <c r="I56" s="78"/>
      <c r="J56" s="78"/>
      <c r="K56" s="78"/>
      <c r="L56" s="78"/>
      <c r="M56" s="79"/>
      <c r="N56" s="65">
        <v>-4</v>
      </c>
      <c r="O56" s="7"/>
    </row>
    <row r="57" spans="1:23" ht="14.25" customHeight="1">
      <c r="A57" s="5"/>
      <c r="B57" s="72" t="s">
        <v>78</v>
      </c>
      <c r="C57" s="104" t="s">
        <v>41</v>
      </c>
      <c r="D57" s="104"/>
      <c r="E57" s="103"/>
      <c r="F57" s="103"/>
      <c r="G57" s="103"/>
      <c r="H57" s="103"/>
      <c r="I57" s="103"/>
      <c r="J57" s="103"/>
      <c r="K57" s="103"/>
      <c r="L57" s="103"/>
      <c r="M57" s="103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6J0NhGIo/eXkh5+UOd3amlJPoUdUqKCbiod+6dKsSOq6VcVOHnugWW4ByyDJgK0bt6QXPaGKPPd+85IafUhx8Q==" saltValue="Fc1YtjRQFHCb+/1CWBy13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2025-11-22T23:03:33Z</dcterms:modified>
  <cp:contentStatus/>
</cp:coreProperties>
</file>