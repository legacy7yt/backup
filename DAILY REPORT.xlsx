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<sst xmlns="http://schemas.openxmlformats.org/spreadsheetml/2006/main" count="101" uniqueCount="79">
  <si>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</si>
  <si>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</si>
  <si>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</si>
  <si>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</si>
  <si>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</si>
  <si>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</si>
  <si>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</si>
  <si>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</si>
  <si>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</si>
  <si>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</si>
  <si>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</si>
  <si>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</si>
  <si>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</si>
  <si>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</si>
  <si>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</si>
  <si>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</si>
  <si>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</si>
  <si>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</si>
  <si>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</si>
  <si>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</si>
  <si>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</si>
  <si>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</si>
  <si>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</si>
  <si>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</si>
  <si>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</si>
  <si>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</si>
  <si>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</si>
  <si>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</si>
  <si>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</si>
  <si>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</si>
  <si>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</si>
  <si>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</si>
  <si>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</si>
  <si>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</si>
  <si>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</si>
  <si>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</si>
  <si>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</si>
  <si>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</si>
  <si>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</si>
  <si>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</si>
  <si>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</si>
  <si>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</si>
  <si>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</si>
  <si>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</si>
  <si>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</si>
  <si>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</si>
  <si>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</si>
  <si>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</si>
  <si>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</si>
  <si>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</si>
  <si>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</si>
  <si>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</si>
  <si>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</si>
  <si>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</si>
  <si>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</si>
  <si>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</si>
  <si>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</si>
  <si>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</si>
  <si>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</si>
  <si>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</si>
  <si>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</si>
  <si>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</si>
  <si>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</si>
  <si>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</si>
  <si>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</si>
  <si>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</si>
  <si>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</si>
  <si>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</si>
  <si>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</si>
  <si>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</si>
  <si>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</si>
  <si>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علي خط الانتاج الي خزانات 11/12.</t>
  </si>
  <si>
    <t>.في انتظار وصول باقي المواد لتنفيذ اعمال العمرة السنوية</t>
  </si>
  <si>
    <t>علي خط الانتاج الي خزان 1360.</t>
  </si>
  <si>
    <t>عماد بيان</t>
  </si>
  <si>
    <t>تحت اعمال الصيانة .</t>
  </si>
  <si>
    <t xml:space="preserve"> إرسال البخار من مصنع اليوريا الي التحلية الثانية متوقف</t>
  </si>
  <si>
    <t>الوحدة رقم 5 تحت اعمال الصيانة .</t>
  </si>
  <si>
    <t>إرسال المياه المحلاه من تحلية ليوريا إلى خزان 11/12 مستمر بمعدل 10 طن / الساعة 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</si>
</sst>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1" zoomScale="130" zoomScaleNormal="130" zoomScalePageLayoutView="120" workbookViewId="0">
      <selection activeCell="E21" sqref="E21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46059</v>
      </c>
      <c r="C5" s="98"/>
      <c r="D5" s="35" t="s">
        <v>4</v>
      </c>
      <c r="G5" s="99" t="s">
        <v>5</v>
      </c>
      <c r="H5" s="99"/>
      <c r="I5" s="99"/>
      <c r="L5" s="100">
        <v>0</v>
      </c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1176</v>
      </c>
      <c r="J9" s="23">
        <v>49</v>
      </c>
      <c r="K9" s="24">
        <v>5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2.2999999999999998</v>
      </c>
      <c r="F10" s="25">
        <v>11</v>
      </c>
      <c r="G10" s="25">
        <v>0</v>
      </c>
      <c r="H10" s="11">
        <v>7</v>
      </c>
      <c r="I10" s="8">
        <v>0</v>
      </c>
      <c r="J10" s="23">
        <v>0</v>
      </c>
      <c r="K10" s="25">
        <v>0</v>
      </c>
      <c r="L10" s="25">
        <v>0</v>
      </c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480</v>
      </c>
      <c r="D11" s="25">
        <v>20</v>
      </c>
      <c r="E11" s="25">
        <v>2.6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1248</v>
      </c>
      <c r="J12" s="25">
        <v>52</v>
      </c>
      <c r="K12" s="25">
        <v>5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/>
      <c r="K13" s="25"/>
      <c r="L13" s="25"/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5280</v>
      </c>
      <c r="C16" s="11">
        <f>C9+C10+C11</f>
        <v>1296</v>
      </c>
      <c r="D16" s="11">
        <f>SUM(D9:D15)</f>
        <v>54</v>
      </c>
      <c r="E16" s="25">
        <v>2.4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3984</v>
      </c>
      <c r="J16" s="11">
        <f>J9+J10+J11+J12+J13+J14+J15</f>
        <v>166</v>
      </c>
      <c r="K16" s="25">
        <v>5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5703</v>
      </c>
      <c r="C21" s="25">
        <v>0</v>
      </c>
      <c r="D21" s="25">
        <v>20</v>
      </c>
      <c r="E21" s="25"/>
      <c r="F21" s="25">
        <v>1296</v>
      </c>
      <c r="G21" s="90">
        <v>423</v>
      </c>
      <c r="H21" s="90"/>
      <c r="I21" s="25"/>
      <c r="J21" s="25">
        <v>0</v>
      </c>
      <c r="K21" s="25">
        <v>0</v>
      </c>
      <c r="L21" s="95">
        <v>3964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0.81</v>
      </c>
      <c r="F22" s="56">
        <v>0.64</v>
      </c>
      <c r="G22" s="94"/>
      <c r="H22" s="93"/>
      <c r="I22" s="49"/>
      <c r="J22" s="50"/>
      <c r="K22" s="50"/>
      <c r="L22" s="37">
        <v>0.51</v>
      </c>
      <c r="M22" s="37">
        <v>0.44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92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70</v>
      </c>
      <c r="J27" s="91"/>
      <c r="K27" s="30">
        <v>43</v>
      </c>
      <c r="L27" s="30">
        <v>0</v>
      </c>
      <c r="M27" s="59">
        <v>27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85</v>
      </c>
      <c r="C28" s="91"/>
      <c r="D28" s="91">
        <f>F28+G28</f>
        <v>21</v>
      </c>
      <c r="E28" s="91"/>
      <c r="F28" s="31">
        <v>0</v>
      </c>
      <c r="G28" s="92">
        <v>21</v>
      </c>
      <c r="H28" s="92"/>
      <c r="I28" s="91">
        <f>K28+L28+M28</f>
        <v>64</v>
      </c>
      <c r="J28" s="91"/>
      <c r="K28" s="31">
        <v>41</v>
      </c>
      <c r="L28" s="31">
        <v>0</v>
      </c>
      <c r="M28" s="62">
        <v>23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7388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5288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70</v>
      </c>
      <c r="F33" s="88">
        <v>0</v>
      </c>
      <c r="G33" s="89"/>
      <c r="H33" s="88">
        <v>0.76</v>
      </c>
      <c r="I33" s="89"/>
      <c r="J33" s="88">
        <v>0.72</v>
      </c>
      <c r="K33" s="89"/>
      <c r="L33" s="88">
        <v>0.96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26700</v>
      </c>
      <c r="C37" s="87"/>
      <c r="D37" s="25">
        <v>100</v>
      </c>
      <c r="E37" s="90">
        <v>6500</v>
      </c>
      <c r="F37" s="90"/>
      <c r="G37" s="90">
        <v>10000</v>
      </c>
      <c r="H37" s="90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>
        <v>240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73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73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71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72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71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71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75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69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69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79" t="s">
        <v>68</v>
      </c>
      <c r="C52" s="80"/>
      <c r="D52" s="80"/>
      <c r="E52" s="80"/>
      <c r="F52" s="80"/>
      <c r="G52" s="80"/>
      <c r="H52" s="80"/>
      <c r="I52" s="80"/>
      <c r="J52" s="80"/>
      <c r="K52" s="80"/>
      <c r="L52" s="80"/>
      <c r="M52" s="80"/>
      <c r="N52" s="81"/>
      <c r="O52" s="7"/>
    </row>
    <row r="53" spans="1:23" ht="15.75" customHeight="1">
      <c r="A53" s="5"/>
      <c r="B53" s="77" t="s">
        <v>76</v>
      </c>
      <c r="C53" s="77"/>
      <c r="D53" s="77"/>
      <c r="E53" s="77"/>
      <c r="F53" s="77"/>
      <c r="G53" s="77"/>
      <c r="H53" s="77"/>
      <c r="I53" s="77"/>
      <c r="J53" s="77"/>
      <c r="K53" s="77"/>
      <c r="L53" s="77"/>
      <c r="M53" s="78"/>
      <c r="N53" s="65">
        <v>-1</v>
      </c>
      <c r="O53" s="7"/>
    </row>
    <row r="54" spans="1:23" ht="14.25" customHeight="1">
      <c r="A54" s="5"/>
      <c r="B54" s="77" t="s">
        <v>77</v>
      </c>
      <c r="C54" s="77"/>
      <c r="D54" s="77"/>
      <c r="E54" s="77"/>
      <c r="F54" s="77"/>
      <c r="G54" s="77"/>
      <c r="H54" s="77"/>
      <c r="I54" s="77"/>
      <c r="J54" s="77"/>
      <c r="K54" s="77"/>
      <c r="L54" s="77"/>
      <c r="M54" s="78"/>
      <c r="N54" s="65">
        <v>-2</v>
      </c>
      <c r="O54" s="7"/>
    </row>
    <row r="55" spans="1:23" ht="14.25" customHeight="1">
      <c r="A55" s="5"/>
      <c r="B55" s="76" t="s">
        <v>78</v>
      </c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82"/>
      <c r="C56" s="83"/>
      <c r="D56" s="83"/>
      <c r="E56" s="83"/>
      <c r="F56" s="83"/>
      <c r="G56" s="83"/>
      <c r="H56" s="83"/>
      <c r="I56" s="83"/>
      <c r="J56" s="83"/>
      <c r="K56" s="83"/>
      <c r="L56" s="83"/>
      <c r="M56" s="84"/>
      <c r="N56" s="65">
        <v>-4</v>
      </c>
      <c r="O56" s="7"/>
    </row>
    <row r="57" spans="1:23" ht="14.25" customHeight="1">
      <c r="A57" s="5"/>
      <c r="B57" s="72" t="s">
        <v>74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2026-02-07T03:05:56Z</dcterms:modified>
  <cp:contentStatus/>
</cp:coreProperties>
</file>