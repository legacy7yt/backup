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<sst xmlns="http://schemas.openxmlformats.org/spreadsheetml/2006/main" count="101" uniqueCount="83">
  <si>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</si>
  <si>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</si>
  <si>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</si>
  <si>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</si>
  <si>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</si>
  <si>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</si>
  <si>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</si>
  <si>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</si>
  <si>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</si>
  <si>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</si>
  <si>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</si>
  <si>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</si>
  <si>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</si>
  <si>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</si>
  <si>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</si>
  <si>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</si>
  <si>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</si>
  <si>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</si>
  <si>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</si>
  <si>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</si>
  <si>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</si>
  <si>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</si>
  <si>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</si>
  <si>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</si>
  <si>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</si>
  <si>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</si>
  <si>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</si>
  <si>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</si>
  <si>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</si>
  <si>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</si>
  <si>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</si>
  <si>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</si>
  <si>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</si>
  <si>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</si>
  <si>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</si>
  <si>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</si>
  <si>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</si>
  <si>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</si>
  <si>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</si>
  <si>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</si>
  <si>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</si>
  <si>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</si>
  <si>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</si>
  <si>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</si>
  <si>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</si>
  <si>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</si>
  <si>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</si>
  <si>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</si>
  <si>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</si>
  <si>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</si>
  <si>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</si>
  <si>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</si>
  <si>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</si>
  <si>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</si>
  <si>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</si>
  <si>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</si>
  <si>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</si>
  <si>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</si>
  <si>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</si>
  <si>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</si>
  <si>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</si>
  <si>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</si>
  <si>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</si>
  <si>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</si>
  <si>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</si>
  <si>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</si>
  <si>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</si>
  <si>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</si>
  <si>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</si>
  <si>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</si>
  <si>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</si>
  <si>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</si>
  <si>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</si>
  <si>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</si>
  <si>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>طارق عبدالله</t>
  </si>
  <si>
    <t>علي خط مياة البحر بسبب ثلوث مياة البحر بمخلفات نفطية.</t>
  </si>
  <si>
    <t xml:space="preserve"> على خط الانتاج إلى خزانات 11/12 والخزان 1360.</t>
  </si>
  <si>
    <t>علي خط الانتاج الي الخزانات 11/12 والخزان 1360.</t>
  </si>
  <si>
    <t>على خط الانتاج إلى خزانات 11/12 والخزان1360.</t>
  </si>
  <si>
    <t xml:space="preserve"> على خط الانتاج الي الخزان 1360.</t>
  </si>
  <si>
    <t xml:space="preserve"> المياه المحلاة المرسلة من خزانات تحلية اليوريا الي خزانات 11/12 مستمرة بمعدل 25/ ساعة</t>
  </si>
  <si>
    <t xml:space="preserve"> كمية البخار المرسلة من مصنع اليوريا إلى محطة التحليه الثانيه مستمرة بمعدل 10 طن / ساعة .</t>
  </si>
  <si>
    <t xml:space="preserve"> تحويل المياة المحلاة من التحلية الثانية الي التحلية الاولي مستمرة.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</si>
</sst>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748</v>
      </c>
      <c r="D10" s="25">
        <v>34</v>
      </c>
      <c r="E10" s="25">
        <v>5</v>
      </c>
      <c r="F10" s="25">
        <v>11</v>
      </c>
      <c r="G10" s="25">
        <v>2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>
        <v>11</v>
      </c>
      <c r="G11" s="25">
        <v>24</v>
      </c>
      <c r="H11" s="11">
        <v>8</v>
      </c>
      <c r="I11" s="8">
        <f>J11*(24-M11)</f>
        <v>1416</v>
      </c>
      <c r="J11" s="25">
        <v>59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4756</v>
      </c>
      <c r="C16" s="11">
        <f>C9+C10+C11</f>
        <v>748</v>
      </c>
      <c r="D16" s="11">
        <f>SUM(D9:D15)</f>
        <v>34</v>
      </c>
      <c r="E16" s="25">
        <v>5</v>
      </c>
      <c r="F16" s="11">
        <f>SUM(F12,F10,F11)</f>
        <v>22</v>
      </c>
      <c r="G16" s="11">
        <f>SUM(G9:G11)</f>
        <v>26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4756</v>
      </c>
      <c r="C21" s="25">
        <v>0</v>
      </c>
      <c r="D21" s="25">
        <v>20</v>
      </c>
      <c r="E21" s="25">
        <v>0</v>
      </c>
      <c r="F21" s="25">
        <v>1228</v>
      </c>
      <c r="G21" s="90"/>
      <c r="H21" s="90"/>
      <c r="I21" s="25"/>
      <c r="J21" s="25">
        <v>0</v>
      </c>
      <c r="K21" s="25">
        <v>0</v>
      </c>
      <c r="L21" s="95">
        <v>3508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0.28000000000000003</v>
      </c>
      <c r="G22" s="94"/>
      <c r="H22" s="93"/>
      <c r="I22" s="49"/>
      <c r="J22" s="50"/>
      <c r="K22" s="50"/>
      <c r="L22" s="37">
        <v>0.7</v>
      </c>
      <c r="M22" s="37">
        <v>0.7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10</v>
      </c>
      <c r="M27" s="59">
        <v>20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7948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5848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0.55000000000000004</v>
      </c>
      <c r="I33" s="89"/>
      <c r="J33" s="88">
        <v>0.74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27850</v>
      </c>
      <c r="C37" s="87"/>
      <c r="D37" s="25">
        <v>100</v>
      </c>
      <c r="E37" s="90">
        <v>7800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630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2026-04-23T23:47:12Z</dcterms:modified>
  <cp:contentStatus/>
</cp:coreProperties>
</file>