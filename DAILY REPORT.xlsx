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<sst xmlns="http://schemas.openxmlformats.org/spreadsheetml/2006/main" count="100" uniqueCount="79">
  <si>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</si>
  <si>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</si>
  <si>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</si>
  <si>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</si>
  <si>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</si>
  <si>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</si>
  <si>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</si>
  <si>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</si>
  <si>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</si>
  <si>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</si>
  <si>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</si>
  <si>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</si>
  <si>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</si>
  <si>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</si>
  <si>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</si>
  <si>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</si>
  <si>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</si>
  <si>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</si>
  <si>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</si>
  <si>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</si>
  <si>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</si>
  <si>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</si>
  <si>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</si>
  <si>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</si>
  <si>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</si>
  <si>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</si>
  <si>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</si>
  <si>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</si>
  <si>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</si>
  <si>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</si>
  <si>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</si>
  <si>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</si>
  <si>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</si>
  <si>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</si>
  <si>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</si>
  <si>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</si>
  <si>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</si>
  <si>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</si>
  <si>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</si>
  <si>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</si>
  <si>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</si>
  <si>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</si>
  <si>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</si>
  <si>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</si>
  <si>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</si>
  <si>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</si>
  <si>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</si>
  <si>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</si>
  <si>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</si>
  <si>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</si>
  <si>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</si>
  <si>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</si>
  <si>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</si>
  <si>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</si>
  <si>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</si>
  <si>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</si>
  <si>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</si>
  <si>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</si>
  <si>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</si>
  <si>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</si>
  <si>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</si>
  <si>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</si>
  <si>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</si>
  <si>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</si>
  <si>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</si>
  <si>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</si>
  <si>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</si>
  <si>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</si>
  <si>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</si>
  <si>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</si>
  <si>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</si>
  <si>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</si>
  <si>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</si>
  <si>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</si>
  <si>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محمد بالخير</t>
  </si>
  <si>
    <t>على خط الانتاج الي الخزان 1360 .</t>
  </si>
  <si>
    <t xml:space="preserve">  المياة المحلاة من تحلية اليوريا الي تحلية  الخزانات 11/12 مستمرة بمعدل 15م /ساعة</t>
  </si>
  <si>
    <t>جاهزة للتشغيل في انتظارالبخار.</t>
  </si>
  <si>
    <t>يتم ارسال ( 19 طن/ ساعه ) من البخار من مصانع اليوريا الي التحلية الثانية.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</si>
</sst>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" zoomScale="145" zoomScaleNormal="145" zoomScalePageLayoutView="120" workbookViewId="0">
      <selection activeCell="H39" sqref="H39:J39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46046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5.5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14</v>
      </c>
      <c r="F11" s="25">
        <v>11</v>
      </c>
      <c r="G11" s="25">
        <v>0</v>
      </c>
      <c r="H11" s="11">
        <v>8</v>
      </c>
      <c r="I11" s="8">
        <f>J11*(24-M11)</f>
        <v>1608</v>
      </c>
      <c r="J11" s="25">
        <v>67</v>
      </c>
      <c r="K11" s="25">
        <v>4.5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4.7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5352</v>
      </c>
      <c r="C16" s="11">
        <f>C9+C10+C11</f>
        <v>1296</v>
      </c>
      <c r="D16" s="11">
        <f>SUM(D9:D15)</f>
        <v>54</v>
      </c>
      <c r="E16" s="25">
        <v>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4056</v>
      </c>
      <c r="J16" s="11">
        <f>J9+J10+J11+J12+J13+J14+J15</f>
        <v>169</v>
      </c>
      <c r="K16" s="25">
        <v>4.9000000000000004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5352</v>
      </c>
      <c r="C21" s="25">
        <v>0</v>
      </c>
      <c r="D21" s="25">
        <v>20</v>
      </c>
      <c r="E21" s="25"/>
      <c r="F21" s="25">
        <v>1296</v>
      </c>
      <c r="G21" s="78"/>
      <c r="H21" s="78"/>
      <c r="I21" s="25"/>
      <c r="J21" s="25">
        <v>0</v>
      </c>
      <c r="K21" s="25">
        <v>0</v>
      </c>
      <c r="L21" s="91">
        <v>4036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0.87</v>
      </c>
      <c r="F22" s="56">
        <v>0.83</v>
      </c>
      <c r="G22" s="89"/>
      <c r="H22" s="90"/>
      <c r="I22" s="49"/>
      <c r="J22" s="50"/>
      <c r="K22" s="50"/>
      <c r="L22" s="37">
        <v>0.6</v>
      </c>
      <c r="M22" s="37">
        <v>0.63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86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64</v>
      </c>
      <c r="J27" s="94"/>
      <c r="K27" s="30">
        <v>38</v>
      </c>
      <c r="L27" s="30">
        <v>19</v>
      </c>
      <c r="M27" s="59">
        <v>7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79</v>
      </c>
      <c r="C28" s="94"/>
      <c r="D28" s="94">
        <f>F28+G28</f>
        <v>21</v>
      </c>
      <c r="E28" s="94"/>
      <c r="F28" s="31">
        <v>0</v>
      </c>
      <c r="G28" s="95">
        <v>21</v>
      </c>
      <c r="H28" s="95"/>
      <c r="I28" s="94">
        <f>K28+L28+M28</f>
        <v>58</v>
      </c>
      <c r="J28" s="94"/>
      <c r="K28" s="31">
        <v>36</v>
      </c>
      <c r="L28" s="31">
        <v>0</v>
      </c>
      <c r="M28" s="62">
        <v>22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6120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4020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</v>
      </c>
      <c r="G33" s="98"/>
      <c r="H33" s="97">
        <v>0.76</v>
      </c>
      <c r="I33" s="98"/>
      <c r="J33" s="97">
        <v>0.79</v>
      </c>
      <c r="K33" s="98"/>
      <c r="L33" s="97">
        <v>0.95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27500</v>
      </c>
      <c r="C37" s="77"/>
      <c r="D37" s="25">
        <v>100</v>
      </c>
      <c r="E37" s="78">
        <v>7400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/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73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75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71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72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77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78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76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2026-01-24T22:44:24Z</dcterms:modified>
  <cp:contentStatus/>
</cp:coreProperties>
</file>