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<sst xmlns="http://schemas.openxmlformats.org/spreadsheetml/2006/main" count="101" uniqueCount="82">
  <si>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</si>
  <si>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</si>
  <si>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</si>
  <si>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</si>
  <si>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</si>
  <si>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</si>
  <si>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</si>
  <si>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</si>
  <si>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</si>
  <si>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</si>
  <si>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</si>
  <si>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</si>
  <si>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</si>
  <si>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</si>
  <si>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</si>
  <si>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</si>
  <si>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</si>
  <si>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</si>
  <si>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</si>
  <si>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</si>
  <si>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</si>
  <si>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</si>
  <si>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</si>
  <si>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</si>
  <si>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</si>
  <si>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</si>
  <si>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</si>
  <si>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</si>
  <si>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</si>
  <si>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</si>
  <si>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</si>
  <si>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</si>
  <si>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</si>
  <si>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</si>
  <si>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</si>
  <si>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</si>
  <si>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</si>
  <si>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</si>
  <si>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</si>
  <si>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</si>
  <si>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</si>
  <si>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</si>
  <si>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</si>
  <si>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</si>
  <si>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</si>
  <si>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</si>
  <si>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</si>
  <si>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</si>
  <si>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</si>
  <si>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</si>
  <si>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</si>
  <si>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</si>
  <si>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</si>
  <si>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</si>
  <si>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</si>
  <si>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</si>
  <si>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</si>
  <si>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</si>
  <si>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</si>
  <si>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</si>
  <si>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</si>
  <si>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</si>
  <si>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</si>
  <si>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</si>
  <si>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</si>
  <si>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</si>
  <si>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</si>
  <si>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</si>
  <si>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</si>
  <si>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</si>
  <si>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</si>
  <si>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</si>
  <si>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>علي خط الانتاج الي خزانات ( TK-11/12).</t>
  </si>
  <si>
    <t xml:space="preserve">علي خط الانتاج الي خزانات ( TK-11/12). </t>
  </si>
  <si>
    <t>تحت أعمال الصيانه.</t>
  </si>
  <si>
    <t xml:space="preserve">المضخة الكهربائية 1105 مع قسم صيانة الآلات الدوارة (MMR) لإجراء الصيانه الشامله,حسب توصيات قسم التفتيش ( M&amp;I + MAG ) </t>
  </si>
  <si>
    <t>حماتة محمد</t>
  </si>
  <si>
    <t>علي خط الانتاج الي خزانات TK-11/12.</t>
  </si>
  <si>
    <t xml:space="preserve"> ارسال 5 طن من البخار من مصنع اليوريا 2 الي تحلية الثانية لا يزال مستمر. </t>
  </si>
  <si>
    <t xml:space="preserve"> علي خط  الإنتاج إلى خزان 1360.</t>
  </si>
  <si>
    <t xml:space="preserve"> على خط الإنتاج إلى خزان 1360.</t>
  </si>
  <si>
    <t xml:space="preserve"> المياه المحلاه المرسله من تحلية اليوريا إلى ( 11/12- TK)  مستمره بمعدل 40m³/Hr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</si>
</sst>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7" zoomScale="130" zoomScaleNormal="130" zoomScalePageLayoutView="120" workbookViewId="0">
      <selection activeCell="F33" sqref="F33:G3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46094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1344</v>
      </c>
      <c r="J9" s="23">
        <v>56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4</v>
      </c>
      <c r="F11" s="25">
        <v>11</v>
      </c>
      <c r="G11" s="25">
        <v>0</v>
      </c>
      <c r="H11" s="11">
        <v>8</v>
      </c>
      <c r="I11" s="8">
        <f>J11*(24-M11)</f>
        <v>1584</v>
      </c>
      <c r="J11" s="25">
        <v>66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0</v>
      </c>
      <c r="J12" s="25"/>
      <c r="K12" s="25"/>
      <c r="L12" s="25"/>
      <c r="M12" s="25">
        <v>24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1200</v>
      </c>
      <c r="J13" s="25">
        <v>50</v>
      </c>
      <c r="K13" s="25">
        <v>17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5568</v>
      </c>
      <c r="C16" s="11">
        <f>C9+C10+C11</f>
        <v>1440</v>
      </c>
      <c r="D16" s="11">
        <f>SUM(D9:D15)</f>
        <v>60</v>
      </c>
      <c r="E16" s="25">
        <v>3.5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4128</v>
      </c>
      <c r="J16" s="11">
        <f>J9+J10+J11+J12+J13+J14+J15</f>
        <v>172</v>
      </c>
      <c r="K16" s="25">
        <v>9.6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5568</v>
      </c>
      <c r="C21" s="25">
        <v>0</v>
      </c>
      <c r="D21" s="25">
        <v>20</v>
      </c>
      <c r="E21" s="25">
        <v>0</v>
      </c>
      <c r="F21" s="25">
        <v>1140</v>
      </c>
      <c r="G21" s="90">
        <v>0</v>
      </c>
      <c r="H21" s="90"/>
      <c r="I21" s="25">
        <v>0</v>
      </c>
      <c r="J21" s="25">
        <v>0</v>
      </c>
      <c r="K21" s="25">
        <v>0</v>
      </c>
      <c r="L21" s="95">
        <v>4408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</v>
      </c>
      <c r="F22" s="56">
        <v>0.85</v>
      </c>
      <c r="G22" s="94"/>
      <c r="H22" s="93"/>
      <c r="I22" s="49"/>
      <c r="J22" s="50"/>
      <c r="K22" s="50"/>
      <c r="L22" s="37">
        <v>0.91</v>
      </c>
      <c r="M22" s="37">
        <v>0.92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92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70</v>
      </c>
      <c r="J27" s="91"/>
      <c r="K27" s="30">
        <v>42</v>
      </c>
      <c r="L27" s="30">
        <v>5</v>
      </c>
      <c r="M27" s="59">
        <v>23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65</v>
      </c>
      <c r="C28" s="91"/>
      <c r="D28" s="91">
        <f>F28+G28</f>
        <v>0</v>
      </c>
      <c r="E28" s="91"/>
      <c r="F28" s="31">
        <v>0</v>
      </c>
      <c r="G28" s="92">
        <v>0</v>
      </c>
      <c r="H28" s="92"/>
      <c r="I28" s="91">
        <f>K28+L28+M28</f>
        <v>65</v>
      </c>
      <c r="J28" s="91"/>
      <c r="K28" s="31">
        <v>48</v>
      </c>
      <c r="L28" s="31">
        <v>0</v>
      </c>
      <c r="M28" s="62">
        <v>17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6308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4208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0.8</v>
      </c>
      <c r="G33" s="89"/>
      <c r="H33" s="88">
        <v>0.72</v>
      </c>
      <c r="I33" s="89"/>
      <c r="J33" s="88">
        <v>0.78</v>
      </c>
      <c r="K33" s="89"/>
      <c r="L33" s="88">
        <v>0.97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27200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960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79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80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77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71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72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74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73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81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75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78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76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2026-03-13T23:14:38Z</dcterms:modified>
  <cp:contentStatus/>
</cp:coreProperties>
</file>