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<sst xmlns="http://schemas.openxmlformats.org/spreadsheetml/2006/main" count="101" uniqueCount="82">
  <si>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</si>
  <si>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</si>
  <si>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</si>
  <si>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</si>
  <si>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</si>
  <si>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</si>
  <si>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</si>
  <si>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</si>
  <si>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</si>
  <si>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</si>
  <si>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</si>
  <si>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</si>
  <si>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</si>
  <si>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</si>
  <si>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</si>
  <si>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</si>
  <si>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</si>
  <si>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</si>
  <si>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</si>
  <si>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</si>
  <si>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</si>
  <si>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</si>
  <si>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</si>
  <si>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</si>
  <si>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</si>
  <si>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</si>
  <si>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</si>
  <si>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</si>
  <si>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</si>
  <si>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</si>
  <si>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</si>
  <si>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</si>
  <si>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</si>
  <si>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</si>
  <si>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</si>
  <si>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</si>
  <si>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</si>
  <si>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</si>
  <si>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</si>
  <si>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</si>
  <si>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</si>
  <si>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</si>
  <si>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</si>
  <si>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</si>
  <si>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</si>
  <si>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</si>
  <si>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</si>
  <si>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</si>
  <si>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</si>
  <si>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</si>
  <si>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</si>
  <si>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</si>
  <si>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</si>
  <si>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</si>
  <si>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</si>
  <si>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</si>
  <si>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</si>
  <si>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</si>
  <si>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</si>
  <si>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</si>
  <si>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</si>
  <si>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</si>
  <si>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</si>
  <si>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</si>
  <si>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</si>
  <si>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</si>
  <si>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</si>
  <si>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</si>
  <si>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</si>
  <si>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</si>
  <si>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</si>
  <si>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 xml:space="preserve">على خط الإنتاج إلى خزانات 11/12 . 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</si>
  <si>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</si>
  <si>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</si>
  <si>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</si>
  <si>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تحت اعمال الصيانة .</t>
  </si>
  <si>
    <t>علي خط الانتاج الي الخزانات 11/12.</t>
  </si>
  <si>
    <t>متوقفة لغرض الصيانة .</t>
  </si>
  <si>
    <t>تم تشغيلها عند الساعة 11:30 ولا تزال خارج خط الإنتاج .</t>
  </si>
  <si>
    <t xml:space="preserve"> المياه المحلاه المرسلة من خزان 11/12 إلى خزان 1360 مستمرة بمعدل 55 طن/الساعة  .</t>
  </si>
  <si>
    <t xml:space="preserve">المياه المحلاه المرسلة من تحلية اليوريا مستمرة بمعدل 55 طن/الساعة . </t>
  </si>
  <si>
    <t>الوحدة رقم 7 تم تشغيلها عند الساعة 11:30 ولا تزال خارج خط الإنتاج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</si>
</sst>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6" zoomScale="120" zoomScaleNormal="120" zoomScalePageLayoutView="120" workbookViewId="0">
      <selection activeCell="L27" sqref="L2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v>45973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5.3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>
        <v>0</v>
      </c>
      <c r="F10" s="25">
        <v>0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0</v>
      </c>
      <c r="F11" s="25">
        <v>0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4.9000000000000004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4080</v>
      </c>
      <c r="C16" s="11">
        <f>C9+C10+C11</f>
        <v>0</v>
      </c>
      <c r="D16" s="11">
        <f>SUM(D9:D15)</f>
        <v>0</v>
      </c>
      <c r="E16" s="25"/>
      <c r="F16" s="11">
        <f>SUM(F12,F10,F11)</f>
        <v>0</v>
      </c>
      <c r="G16" s="11">
        <f>SUM(G9:G11)</f>
        <v>48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/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4080</v>
      </c>
      <c r="C21" s="25">
        <v>0</v>
      </c>
      <c r="D21" s="25">
        <v>20</v>
      </c>
      <c r="E21" s="25"/>
      <c r="F21" s="25">
        <v>1320</v>
      </c>
      <c r="G21" s="90"/>
      <c r="H21" s="90"/>
      <c r="I21" s="25"/>
      <c r="J21" s="25">
        <v>0</v>
      </c>
      <c r="K21" s="25">
        <v>0</v>
      </c>
      <c r="L21" s="95">
        <v>2740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0.15</v>
      </c>
      <c r="G22" s="94"/>
      <c r="H22" s="93"/>
      <c r="I22" s="49"/>
      <c r="J22" s="50"/>
      <c r="K22" s="50"/>
      <c r="L22" s="37">
        <v>0.92</v>
      </c>
      <c r="M22" s="37">
        <v>0.93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64</v>
      </c>
      <c r="C27" s="91"/>
      <c r="D27" s="91">
        <f>G27+F27</f>
        <v>0</v>
      </c>
      <c r="E27" s="91"/>
      <c r="F27" s="30">
        <v>0</v>
      </c>
      <c r="G27" s="92">
        <v>0</v>
      </c>
      <c r="H27" s="92"/>
      <c r="I27" s="91">
        <f>K27+L27+M27</f>
        <v>64</v>
      </c>
      <c r="J27" s="91"/>
      <c r="K27" s="30">
        <v>29</v>
      </c>
      <c r="L27" s="30">
        <v>0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57</v>
      </c>
      <c r="C28" s="91"/>
      <c r="D28" s="91">
        <f>F28+G28</f>
        <v>0</v>
      </c>
      <c r="E28" s="91"/>
      <c r="F28" s="31">
        <v>0</v>
      </c>
      <c r="G28" s="92">
        <v>0</v>
      </c>
      <c r="H28" s="92"/>
      <c r="I28" s="91">
        <f>K28+L28+M28</f>
        <v>57</v>
      </c>
      <c r="J28" s="91"/>
      <c r="K28" s="31">
        <v>57</v>
      </c>
      <c r="L28" s="31">
        <v>0</v>
      </c>
      <c r="M28" s="62">
        <v>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7323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5223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0.83</v>
      </c>
      <c r="I33" s="89"/>
      <c r="J33" s="88">
        <v>0.77</v>
      </c>
      <c r="K33" s="89"/>
      <c r="L33" s="88">
        <v>0.97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23400</v>
      </c>
      <c r="C37" s="87"/>
      <c r="D37" s="25">
        <v>100</v>
      </c>
      <c r="E37" s="90">
        <v>7300</v>
      </c>
      <c r="F37" s="90"/>
      <c r="G37" s="90">
        <v>10000</v>
      </c>
      <c r="H37" s="90"/>
      <c r="I37" s="25">
        <v>1500</v>
      </c>
      <c r="J37" s="25">
        <v>600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1320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73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80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79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2025-12-11T23:45:14Z</dcterms:modified>
  <cp:contentStatus/>
</cp:coreProperties>
</file>