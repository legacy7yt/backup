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<sst xmlns="http://schemas.openxmlformats.org/spreadsheetml/2006/main" count="101" uniqueCount="79">
  <si>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</si>
  <si>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</si>
  <si>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</si>
  <si>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</si>
  <si>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</si>
  <si>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</si>
  <si>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</si>
  <si>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</si>
  <si>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</si>
  <si>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</si>
  <si>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</si>
  <si>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</si>
  <si>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</si>
  <si>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</si>
  <si>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</si>
  <si>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</si>
  <si>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</si>
  <si>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</si>
  <si>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</si>
  <si>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</si>
  <si>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</si>
  <si>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</si>
  <si>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</si>
  <si>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</si>
  <si>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</si>
  <si>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</si>
  <si>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</si>
  <si>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</si>
  <si>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</si>
  <si>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</si>
  <si>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</si>
  <si>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</si>
  <si>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</si>
  <si>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</si>
  <si>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</si>
  <si>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</si>
  <si>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</si>
  <si>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</si>
  <si>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</si>
  <si>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</si>
  <si>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</si>
  <si>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</si>
  <si>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</si>
  <si>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</si>
  <si>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</si>
  <si>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</si>
  <si>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</si>
  <si>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</si>
  <si>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</si>
  <si>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</si>
  <si>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</si>
  <si>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</si>
  <si>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</si>
  <si>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</si>
  <si>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</si>
  <si>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</si>
  <si>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</si>
  <si>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</si>
  <si>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</si>
  <si>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</si>
  <si>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</si>
  <si>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</si>
  <si>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</si>
  <si>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</si>
  <si>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</si>
  <si>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</si>
  <si>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</si>
  <si>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</si>
  <si>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</si>
  <si>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</si>
  <si>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</si>
  <si>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</si>
  <si>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</si>
  <si>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</si>
  <si>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عماد بيان</t>
  </si>
  <si>
    <t>المياه المحلاه المرسلة من تحلية ليوريا إلى خزانات 11/12 مستمر بمعدل 10 طن / الساعة .</t>
  </si>
  <si>
    <t xml:space="preserve">  </t>
  </si>
  <si>
    <t>جاهزة للتشغيل في إنتظار القدرة الكهربائية .</t>
  </si>
  <si>
    <t xml:space="preserve">كمية البخار المرسلة من مصنع اليوريا إلى مصنع الأمونيا الأول 10 طن / الساعة 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</si>
</sst>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7" zoomScale="130" zoomScaleNormal="130" zoomScalePageLayoutView="120" workbookViewId="0">
      <selection activeCell="F21" sqref="F21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46068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1200</v>
      </c>
      <c r="J9" s="23">
        <v>50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7.5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2.5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4.8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5.2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5328</v>
      </c>
      <c r="C16" s="11">
        <f>C9+C10+C11</f>
        <v>1296</v>
      </c>
      <c r="D16" s="11">
        <f>SUM(D9:D15)</f>
        <v>54</v>
      </c>
      <c r="E16" s="25">
        <v>5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4032</v>
      </c>
      <c r="J16" s="11">
        <f>J9+J10+J11+J12+J13+J14+J15</f>
        <v>168</v>
      </c>
      <c r="K16" s="25">
        <v>5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5328</v>
      </c>
      <c r="C21" s="25">
        <v>0</v>
      </c>
      <c r="D21" s="25">
        <v>20</v>
      </c>
      <c r="E21" s="25"/>
      <c r="F21" s="25">
        <v>1296</v>
      </c>
      <c r="G21" s="90">
        <v>0</v>
      </c>
      <c r="H21" s="90"/>
      <c r="I21" s="25"/>
      <c r="J21" s="25">
        <v>0</v>
      </c>
      <c r="K21" s="25">
        <v>0</v>
      </c>
      <c r="L21" s="95">
        <v>4012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0.49</v>
      </c>
      <c r="F22" s="56">
        <v>0.81</v>
      </c>
      <c r="G22" s="94"/>
      <c r="H22" s="93"/>
      <c r="I22" s="49"/>
      <c r="J22" s="50"/>
      <c r="K22" s="50"/>
      <c r="L22" s="37">
        <v>0.35</v>
      </c>
      <c r="M22" s="37">
        <v>0.37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86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64</v>
      </c>
      <c r="J27" s="91"/>
      <c r="K27" s="30">
        <v>48</v>
      </c>
      <c r="L27" s="30">
        <v>10</v>
      </c>
      <c r="M27" s="59">
        <v>6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79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58</v>
      </c>
      <c r="J28" s="91"/>
      <c r="K28" s="31">
        <v>40</v>
      </c>
      <c r="L28" s="31">
        <v>0</v>
      </c>
      <c r="M28" s="62">
        <v>18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7518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5418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0.39</v>
      </c>
      <c r="G33" s="89"/>
      <c r="H33" s="88">
        <v>0.78</v>
      </c>
      <c r="I33" s="89"/>
      <c r="J33" s="88">
        <v>0.67</v>
      </c>
      <c r="K33" s="89"/>
      <c r="L33" s="88">
        <v>0.95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22000</v>
      </c>
      <c r="C37" s="87"/>
      <c r="D37" s="25">
        <v>100</v>
      </c>
      <c r="E37" s="90">
        <v>6800</v>
      </c>
      <c r="F37" s="90"/>
      <c r="G37" s="90">
        <v>10000</v>
      </c>
      <c r="H37" s="90"/>
      <c r="I37" s="25">
        <v>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240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73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73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71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72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71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71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77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75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78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76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74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2026-02-16T00:25:22Z</dcterms:modified>
  <cp:contentStatus/>
</cp:coreProperties>
</file>