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<sst xmlns="http://schemas.openxmlformats.org/spreadsheetml/2006/main" count="102" uniqueCount="81">
  <si>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</si>
  <si>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</si>
  <si>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</si>
  <si>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</si>
  <si>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</si>
  <si>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</si>
  <si>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</si>
  <si>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</si>
  <si>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</si>
  <si>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</si>
  <si>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</si>
  <si>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</si>
  <si>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</si>
  <si>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</si>
  <si>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</si>
  <si>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</si>
  <si>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</si>
  <si>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</si>
  <si>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</si>
  <si>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</si>
  <si>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</si>
  <si>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</si>
  <si>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</si>
  <si>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</si>
  <si>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</si>
  <si>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</si>
  <si>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</si>
  <si>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</si>
  <si>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</si>
  <si>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</si>
  <si>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</si>
  <si>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</si>
  <si>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</si>
  <si>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</si>
  <si>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</si>
  <si>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</si>
  <si>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</si>
  <si>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</si>
  <si>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</si>
  <si>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</si>
  <si>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</si>
  <si>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</si>
  <si>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</si>
  <si>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</si>
  <si>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</si>
  <si>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</si>
  <si>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</si>
  <si>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</si>
  <si>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</si>
  <si>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</si>
  <si>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</si>
  <si>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</si>
  <si>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</si>
  <si>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</si>
  <si>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</si>
  <si>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</si>
  <si>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</si>
  <si>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</si>
  <si>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</si>
  <si>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</si>
  <si>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</si>
  <si>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</si>
  <si>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</si>
  <si>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</si>
  <si>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</si>
  <si>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</si>
  <si>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</si>
  <si>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</si>
  <si>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</si>
  <si>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</si>
  <si>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</si>
  <si>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.في انتظار وصول باقي المواد لتنفيذ اعمال العمرة السنوية</t>
  </si>
  <si>
    <t xml:space="preserve"> وليد محمد</t>
  </si>
  <si>
    <t xml:space="preserve"> كمية مياه البحر المرسلة الي الشركة الليبيه للإسمدة ( لايفيكو ) 23200 م³ / الساعه .</t>
  </si>
  <si>
    <t xml:space="preserve"> المياه المحلاه المرسلة من تحلية اليوريا إلى خزانات 11/12 , مستمره بمعدل 10م³ / الساعه.</t>
  </si>
  <si>
    <t xml:space="preserve"> كمية البخار المرسلة من مصنع اليوريا الثاني إلى مصانع الأمونيا, 12 طن / الساعه . </t>
  </si>
  <si>
    <t xml:space="preserve"> على خط الانتاج الى خزان (1360-TK ) .</t>
  </si>
  <si>
    <t xml:space="preserve"> علي خط الانتاج الي خزان (TK-1360) .</t>
  </si>
  <si>
    <t>علي خط الانتاج الي خزانات ( TK-11/12).</t>
  </si>
  <si>
    <t>علي خط الانتاج الي خزانات ( TK-11/12 ).</t>
  </si>
  <si>
    <t xml:space="preserve"> عند الساعه 17:00am , تم اغلاق صمام العزل الرئيسى لخط منظومة الأطفاء 20Ø و كذالك اغلاق خط التغذيه له 6Ø (Make-up) حسب طلب قسم صيانة الاطفاء , بسبب وجود تسرب لمياه البحر الخاصه بمنظومة الاطفاء بالقرب من محطة الكهرباء 2.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</si>
</sst>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37" zoomScale="130" zoomScaleNormal="130" zoomScalePageLayoutView="120" workbookViewId="0">
      <selection activeCell="B56" sqref="B56:M56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46073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1200</v>
      </c>
      <c r="J9" s="23">
        <v>50</v>
      </c>
      <c r="K9" s="24">
        <v>5.5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2.5</v>
      </c>
      <c r="F10" s="25">
        <v>11</v>
      </c>
      <c r="G10" s="25">
        <v>0</v>
      </c>
      <c r="H10" s="11">
        <v>7</v>
      </c>
      <c r="I10" s="8">
        <v>0</v>
      </c>
      <c r="J10" s="23">
        <v>0</v>
      </c>
      <c r="K10" s="25"/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480</v>
      </c>
      <c r="D11" s="25">
        <v>20</v>
      </c>
      <c r="E11" s="25">
        <v>2.2000000000000002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4.5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1248</v>
      </c>
      <c r="J12" s="25">
        <v>52</v>
      </c>
      <c r="K12" s="25">
        <v>5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1272</v>
      </c>
      <c r="J13" s="25">
        <v>53</v>
      </c>
      <c r="K13" s="25">
        <v>15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6576</v>
      </c>
      <c r="C16" s="11">
        <f>C9+C10+C11</f>
        <v>1296</v>
      </c>
      <c r="D16" s="11">
        <f>SUM(D9:D15)</f>
        <v>54</v>
      </c>
      <c r="E16" s="25">
        <v>2.2999999999999998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5280</v>
      </c>
      <c r="J16" s="11">
        <f>J9+J10+J11+J12+J13+J14+J15</f>
        <v>220</v>
      </c>
      <c r="K16" s="25">
        <v>7.5</v>
      </c>
      <c r="L16" s="11">
        <f>SUM(L9:L15)</f>
        <v>80</v>
      </c>
      <c r="M16" s="11">
        <f>SUM(M9:M15)</f>
        <v>72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6576</v>
      </c>
      <c r="C21" s="25">
        <v>0</v>
      </c>
      <c r="D21" s="25">
        <v>20</v>
      </c>
      <c r="E21" s="25"/>
      <c r="F21" s="25">
        <v>1296</v>
      </c>
      <c r="G21" s="78">
        <v>0</v>
      </c>
      <c r="H21" s="78"/>
      <c r="I21" s="25"/>
      <c r="J21" s="25">
        <v>0</v>
      </c>
      <c r="K21" s="25">
        <v>0</v>
      </c>
      <c r="L21" s="91">
        <v>5260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0.77</v>
      </c>
      <c r="F22" s="56">
        <v>0.54</v>
      </c>
      <c r="G22" s="89"/>
      <c r="H22" s="90"/>
      <c r="I22" s="49"/>
      <c r="J22" s="50"/>
      <c r="K22" s="50"/>
      <c r="L22" s="37">
        <v>0.51</v>
      </c>
      <c r="M22" s="37">
        <v>0.52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106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84</v>
      </c>
      <c r="J27" s="94"/>
      <c r="K27" s="30">
        <v>43</v>
      </c>
      <c r="L27" s="30">
        <v>12</v>
      </c>
      <c r="M27" s="59">
        <v>29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101</v>
      </c>
      <c r="C28" s="94"/>
      <c r="D28" s="94">
        <f>F28+G28</f>
        <v>21</v>
      </c>
      <c r="E28" s="94"/>
      <c r="F28" s="31">
        <v>0</v>
      </c>
      <c r="G28" s="95">
        <v>21</v>
      </c>
      <c r="H28" s="95"/>
      <c r="I28" s="94">
        <f>K28+L28+M28</f>
        <v>80</v>
      </c>
      <c r="J28" s="94"/>
      <c r="K28" s="31">
        <v>48</v>
      </c>
      <c r="L28" s="31">
        <v>0</v>
      </c>
      <c r="M28" s="62">
        <v>32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6124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4024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70</v>
      </c>
      <c r="F33" s="97">
        <v>0.93</v>
      </c>
      <c r="G33" s="98"/>
      <c r="H33" s="97">
        <v>0.91</v>
      </c>
      <c r="I33" s="98"/>
      <c r="J33" s="97">
        <v>0.65</v>
      </c>
      <c r="K33" s="98"/>
      <c r="L33" s="97">
        <v>0.85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28000</v>
      </c>
      <c r="C37" s="77"/>
      <c r="D37" s="25">
        <v>100</v>
      </c>
      <c r="E37" s="78">
        <v>7000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240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76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77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78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71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78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78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79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69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69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74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75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 t="s">
        <v>73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 t="s">
        <v>80</v>
      </c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72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2026-02-20T23:43:34Z</dcterms:modified>
  <cp:contentStatus/>
</cp:coreProperties>
</file>