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<sst xmlns="http://schemas.openxmlformats.org/spreadsheetml/2006/main" count="101" uniqueCount="83">
  <si>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</si>
  <si>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</si>
  <si>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</si>
  <si>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</si>
  <si>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</si>
  <si>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</si>
  <si>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</si>
  <si>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</si>
  <si>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</si>
  <si>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</si>
  <si>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</si>
  <si>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</si>
  <si>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</si>
  <si>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</si>
  <si>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</si>
  <si>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</si>
  <si>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</si>
  <si>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</si>
  <si>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</si>
  <si>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</si>
  <si>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</si>
  <si>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</si>
  <si>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</si>
  <si>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</si>
  <si>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</si>
  <si>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</si>
  <si>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</si>
  <si>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</si>
  <si>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</si>
  <si>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</si>
  <si>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</si>
  <si>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</si>
  <si>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</si>
  <si>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</si>
  <si>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</si>
  <si>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</si>
  <si>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</si>
  <si>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</si>
  <si>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</si>
  <si>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</si>
  <si>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</si>
  <si>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</si>
  <si>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</si>
  <si>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</si>
  <si>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</si>
  <si>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</si>
  <si>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</si>
  <si>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</si>
  <si>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</si>
  <si>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</si>
  <si>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</si>
  <si>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</si>
  <si>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</si>
  <si>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</si>
  <si>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</si>
  <si>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</si>
  <si>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</si>
  <si>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</si>
  <si>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</si>
  <si>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</si>
  <si>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</si>
  <si>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</si>
  <si>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</si>
  <si>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</si>
  <si>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</si>
  <si>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</si>
  <si>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</si>
  <si>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</si>
  <si>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</si>
  <si>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</si>
  <si>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</si>
  <si>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</si>
  <si>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</si>
  <si>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تحت اعمال الصيانة</t>
  </si>
  <si>
    <t xml:space="preserve"> على خط الانتاج الي الخزان 1360.</t>
  </si>
  <si>
    <t>علي خط الانتاج الي الخزان 1360.</t>
  </si>
  <si>
    <t xml:space="preserve"> على خط الانتاج إلى خزانات 11/12.</t>
  </si>
  <si>
    <t>علي خط الانتاج الي الخزانات 11/12.</t>
  </si>
  <si>
    <t>على خط الانتاج إلى خزانات 11/12.</t>
  </si>
  <si>
    <t xml:space="preserve"> كمية البخار المرسلة من مصنع اليوريا إلى محطة التحليه الثانيه مستمرة بمعدل 12 طن / ساعة .</t>
  </si>
  <si>
    <t xml:space="preserve"> المياه المحلاة المرسلة من خزانات تحلية اليوريا الي خزانات 11/12 مستمرة بمعدل 30 ساعة</t>
  </si>
  <si>
    <t>تم تحويل المياة من التحلية الاولي الي الخزانات 11/12 عند ساعة07:00 صباحا وتم اغلاقها عند الساعة 17:00مساء..</t>
  </si>
  <si>
    <t>حماتة محمد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</si>
</sst>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7" sqref="B5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46141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1272</v>
      </c>
      <c r="J9" s="23">
        <v>53</v>
      </c>
      <c r="K9" s="24">
        <v>7.5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2.2000000000000002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5</v>
      </c>
      <c r="F11" s="25">
        <v>11</v>
      </c>
      <c r="G11" s="25"/>
      <c r="H11" s="11">
        <v>8</v>
      </c>
      <c r="I11" s="8">
        <f>J11*(24-M11)</f>
        <v>1392</v>
      </c>
      <c r="J11" s="25">
        <v>58</v>
      </c>
      <c r="K11" s="25">
        <v>8.6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7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5352</v>
      </c>
      <c r="C16" s="11">
        <f>C9+C10+C11</f>
        <v>1440</v>
      </c>
      <c r="D16" s="11">
        <f>SUM(D9:D15)</f>
        <v>60</v>
      </c>
      <c r="E16" s="25">
        <v>3.6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3912</v>
      </c>
      <c r="J16" s="11">
        <f>J9+J10+J11+J12+J13+J14+J15</f>
        <v>163</v>
      </c>
      <c r="K16" s="25">
        <v>7.7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5352</v>
      </c>
      <c r="C21" s="25">
        <v>0</v>
      </c>
      <c r="D21" s="25">
        <v>20</v>
      </c>
      <c r="E21" s="25">
        <v>0</v>
      </c>
      <c r="F21" s="25">
        <v>840</v>
      </c>
      <c r="G21" s="78"/>
      <c r="H21" s="78"/>
      <c r="I21" s="25"/>
      <c r="J21" s="25">
        <v>0</v>
      </c>
      <c r="K21" s="25">
        <v>0</v>
      </c>
      <c r="L21" s="91">
        <v>4492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0.82</v>
      </c>
      <c r="G22" s="89"/>
      <c r="H22" s="90"/>
      <c r="I22" s="49"/>
      <c r="J22" s="50"/>
      <c r="K22" s="50"/>
      <c r="L22" s="37">
        <v>0.63</v>
      </c>
      <c r="M22" s="37">
        <v>0.63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40</v>
      </c>
      <c r="L27" s="30">
        <v>12</v>
      </c>
      <c r="M27" s="59">
        <v>18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86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8254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6154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0.67</v>
      </c>
      <c r="G33" s="98"/>
      <c r="H33" s="97">
        <v>0.65</v>
      </c>
      <c r="I33" s="98"/>
      <c r="J33" s="97">
        <v>0.65</v>
      </c>
      <c r="K33" s="98"/>
      <c r="L33" s="97">
        <v>0.95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28050</v>
      </c>
      <c r="C37" s="77"/>
      <c r="D37" s="25">
        <v>100</v>
      </c>
      <c r="E37" s="78">
        <v>8000</v>
      </c>
      <c r="F37" s="78"/>
      <c r="G37" s="78">
        <v>10000</v>
      </c>
      <c r="H37" s="78"/>
      <c r="I37" s="25">
        <v>5000</v>
      </c>
      <c r="J37" s="25">
        <v>750</v>
      </c>
      <c r="K37" s="25">
        <v>200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720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74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75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73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81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82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2026-04-29T22:36:19Z</dcterms:modified>
  <cp:contentStatus/>
</cp:coreProperties>
</file>