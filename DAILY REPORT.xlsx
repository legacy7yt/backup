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<sst xmlns="http://schemas.openxmlformats.org/spreadsheetml/2006/main" count="100" uniqueCount="79">
  <si>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</si>
  <si>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</si>
  <si>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</si>
  <si>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</si>
  <si>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</si>
  <si>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</si>
  <si>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</si>
  <si>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</si>
  <si>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</si>
  <si>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</si>
  <si>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</si>
  <si>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</si>
  <si>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</si>
  <si>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</si>
  <si>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</si>
  <si>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</si>
  <si>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</si>
  <si>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</si>
  <si>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</si>
  <si>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</si>
  <si>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</si>
  <si>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</si>
  <si>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</si>
  <si>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</si>
  <si>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</si>
  <si>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</si>
  <si>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</si>
  <si>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</si>
  <si>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</si>
  <si>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</si>
  <si>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</si>
  <si>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</si>
  <si>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</si>
  <si>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</si>
  <si>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</si>
  <si>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</si>
  <si>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</si>
  <si>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</si>
  <si>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</si>
  <si>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</si>
  <si>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</si>
  <si>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</si>
  <si>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</si>
  <si>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</si>
  <si>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</si>
  <si>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</si>
  <si>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</si>
  <si>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</si>
  <si>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</si>
  <si>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</si>
  <si>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</si>
  <si>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</si>
  <si>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</si>
  <si>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</si>
  <si>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</si>
  <si>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</si>
  <si>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</si>
  <si>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</si>
  <si>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</si>
  <si>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</si>
  <si>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</si>
  <si>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</si>
  <si>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</si>
  <si>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</si>
  <si>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</si>
  <si>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</si>
  <si>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</si>
  <si>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</si>
  <si>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</si>
  <si>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</si>
  <si>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</si>
  <si>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</si>
  <si>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</si>
  <si>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</si>
  <si>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علي خط الانتاج الي الخزنات 11/12 .</t>
  </si>
  <si>
    <t>حماتة محمد</t>
  </si>
  <si>
    <t xml:space="preserve"> تم ايقافها عند الساعة 05:00 صباحا بسبب مشكلة في مضخة تصريف البحر.</t>
  </si>
  <si>
    <t>المياة المرسلة من التحلية الثانية الي التحلية الاولي مستمرة.</t>
  </si>
  <si>
    <t>يتم ارسال 10 طن من البخار من مصانع اليوريا الي التحلية الثانية.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</si>
</sst>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4" zoomScale="145" zoomScaleNormal="145" zoomScalePageLayoutView="120" workbookViewId="0">
      <selection activeCell="B54" sqref="B54:M54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46028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6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2.2999999999999998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0</v>
      </c>
      <c r="D11" s="25"/>
      <c r="E11" s="25"/>
      <c r="F11" s="25"/>
      <c r="G11" s="25">
        <v>24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6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11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6072</v>
      </c>
      <c r="C16" s="11">
        <f>C9+C10+C11</f>
        <v>816</v>
      </c>
      <c r="D16" s="11">
        <f>SUM(D9:D15)</f>
        <v>34</v>
      </c>
      <c r="E16" s="25">
        <v>2.2999999999999998</v>
      </c>
      <c r="F16" s="11">
        <f>SUM(F12,F10,F11)</f>
        <v>11</v>
      </c>
      <c r="G16" s="11">
        <f>SUM(G9:G11)</f>
        <v>24</v>
      </c>
      <c r="H16" s="13" t="s">
        <v>14</v>
      </c>
      <c r="I16" s="11">
        <f>I9+I10+I11+I12+I13+I14+I15</f>
        <v>5256</v>
      </c>
      <c r="J16" s="11">
        <f>J9+J10+J11+J12+J13+J14+J15</f>
        <v>219</v>
      </c>
      <c r="K16" s="25">
        <v>7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6072</v>
      </c>
      <c r="C21" s="25">
        <v>0</v>
      </c>
      <c r="D21" s="25">
        <v>20</v>
      </c>
      <c r="E21" s="25">
        <v>0</v>
      </c>
      <c r="F21" s="25">
        <v>1416</v>
      </c>
      <c r="G21" s="90"/>
      <c r="H21" s="90"/>
      <c r="I21" s="25"/>
      <c r="J21" s="25">
        <v>0</v>
      </c>
      <c r="K21" s="25">
        <v>0</v>
      </c>
      <c r="L21" s="95">
        <v>4636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0.97</v>
      </c>
      <c r="F22" s="56">
        <v>0.59</v>
      </c>
      <c r="G22" s="94"/>
      <c r="H22" s="93"/>
      <c r="I22" s="49"/>
      <c r="J22" s="50"/>
      <c r="K22" s="50"/>
      <c r="L22" s="37">
        <v>0.75</v>
      </c>
      <c r="M22" s="37">
        <v>0.76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95</v>
      </c>
      <c r="C27" s="91"/>
      <c r="D27" s="91">
        <f>G27+F27</f>
        <v>11</v>
      </c>
      <c r="E27" s="91"/>
      <c r="F27" s="30">
        <v>0</v>
      </c>
      <c r="G27" s="92">
        <v>11</v>
      </c>
      <c r="H27" s="92"/>
      <c r="I27" s="91">
        <f>K27+L27+M27</f>
        <v>84</v>
      </c>
      <c r="J27" s="91"/>
      <c r="K27" s="30">
        <v>39</v>
      </c>
      <c r="L27" s="30">
        <v>10</v>
      </c>
      <c r="M27" s="59">
        <v>35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89</v>
      </c>
      <c r="C28" s="91"/>
      <c r="D28" s="91">
        <f>F28+G28</f>
        <v>10</v>
      </c>
      <c r="E28" s="91"/>
      <c r="F28" s="31">
        <v>0</v>
      </c>
      <c r="G28" s="92">
        <v>10</v>
      </c>
      <c r="H28" s="92"/>
      <c r="I28" s="91">
        <f>K28+L28+M28</f>
        <v>79</v>
      </c>
      <c r="J28" s="91"/>
      <c r="K28" s="31">
        <v>60</v>
      </c>
      <c r="L28" s="31">
        <v>0</v>
      </c>
      <c r="M28" s="62">
        <v>19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8036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5936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</v>
      </c>
      <c r="G33" s="89"/>
      <c r="H33" s="88">
        <v>0.96</v>
      </c>
      <c r="I33" s="89"/>
      <c r="J33" s="88">
        <v>0.79</v>
      </c>
      <c r="K33" s="89"/>
      <c r="L33" s="88">
        <v>0.9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27900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73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76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71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74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82" t="s">
        <v>68</v>
      </c>
      <c r="C52" s="83"/>
      <c r="D52" s="83"/>
      <c r="E52" s="83"/>
      <c r="F52" s="83"/>
      <c r="G52" s="83"/>
      <c r="H52" s="83"/>
      <c r="I52" s="83"/>
      <c r="J52" s="83"/>
      <c r="K52" s="83"/>
      <c r="L52" s="83"/>
      <c r="M52" s="83"/>
      <c r="N52" s="84"/>
      <c r="O52" s="7"/>
    </row>
    <row r="53" spans="1:23" ht="15.75" customHeight="1">
      <c r="A53" s="5"/>
      <c r="B53" s="77" t="s">
        <v>77</v>
      </c>
      <c r="C53" s="78"/>
      <c r="D53" s="78"/>
      <c r="E53" s="78"/>
      <c r="F53" s="78"/>
      <c r="G53" s="78"/>
      <c r="H53" s="78"/>
      <c r="I53" s="78"/>
      <c r="J53" s="78"/>
      <c r="K53" s="78"/>
      <c r="L53" s="78"/>
      <c r="M53" s="79"/>
      <c r="N53" s="65">
        <v>-1</v>
      </c>
      <c r="O53" s="7"/>
    </row>
    <row r="54" spans="1:23" ht="14.25" customHeight="1">
      <c r="A54" s="5"/>
      <c r="B54" s="80" t="s">
        <v>78</v>
      </c>
      <c r="C54" s="80"/>
      <c r="D54" s="80"/>
      <c r="E54" s="80"/>
      <c r="F54" s="80"/>
      <c r="G54" s="80"/>
      <c r="H54" s="80"/>
      <c r="I54" s="80"/>
      <c r="J54" s="80"/>
      <c r="K54" s="80"/>
      <c r="L54" s="80"/>
      <c r="M54" s="81"/>
      <c r="N54" s="65">
        <v>-2</v>
      </c>
      <c r="O54" s="7"/>
    </row>
    <row r="55" spans="1:23" ht="14.25" customHeight="1">
      <c r="A55" s="5"/>
      <c r="B55" s="76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77"/>
      <c r="C56" s="78"/>
      <c r="D56" s="78"/>
      <c r="E56" s="78"/>
      <c r="F56" s="78"/>
      <c r="G56" s="78"/>
      <c r="H56" s="78"/>
      <c r="I56" s="78"/>
      <c r="J56" s="78"/>
      <c r="K56" s="78"/>
      <c r="L56" s="78"/>
      <c r="M56" s="79"/>
      <c r="N56" s="65">
        <v>-4</v>
      </c>
      <c r="O56" s="7"/>
    </row>
    <row r="57" spans="1:23" ht="14.25" customHeight="1">
      <c r="A57" s="5"/>
      <c r="B57" s="72" t="s">
        <v>75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8hPB7mXKYYK5NUiiuMrIvLPNrNlemctjMuydBAzpkU/lUc03z0xVqtAaRoY6aHXa925UCSyEpR/wI28b7eX6ng==" saltValue="2RljvKsy886UjVnbdoj4Vg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2026-01-06T22:49:16Z</dcterms:modified>
  <cp:contentStatus/>
</cp:coreProperties>
</file>