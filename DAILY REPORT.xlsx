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<sst xmlns="http://schemas.openxmlformats.org/spreadsheetml/2006/main" count="102" uniqueCount="84">
  <si>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</si>
  <si>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</si>
  <si>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</si>
  <si>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</si>
  <si>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</si>
  <si>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</si>
  <si>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</si>
  <si>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</si>
  <si>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</si>
  <si>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</si>
  <si>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</si>
  <si>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</si>
  <si>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</si>
  <si>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</si>
  <si>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</si>
  <si>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</si>
  <si>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</si>
  <si>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</si>
  <si>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</si>
  <si>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</si>
  <si>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</si>
  <si>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</si>
  <si>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</si>
  <si>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</si>
  <si>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</si>
  <si>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</si>
  <si>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</si>
  <si>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</si>
  <si>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</si>
  <si>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</si>
  <si>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</si>
  <si>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</si>
  <si>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</si>
  <si>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</si>
  <si>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</si>
  <si>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</si>
  <si>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</si>
  <si>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</si>
  <si>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</si>
  <si>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</si>
  <si>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</si>
  <si>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</si>
  <si>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</si>
  <si>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</si>
  <si>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</si>
  <si>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</si>
  <si>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</si>
  <si>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</si>
  <si>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</si>
  <si>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</si>
  <si>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</si>
  <si>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</si>
  <si>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</si>
  <si>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</si>
  <si>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</si>
  <si>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</si>
  <si>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</si>
  <si>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</si>
  <si>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</si>
  <si>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</si>
  <si>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</si>
  <si>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</si>
  <si>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</si>
  <si>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</si>
  <si>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</si>
  <si>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</si>
  <si>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</si>
  <si>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</si>
  <si>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</si>
  <si>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</si>
  <si>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</si>
  <si>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</si>
  <si>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</si>
  <si>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</si>
  <si>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</si>
  <si>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المضخة الكهربائية 101C والمضخه 1105 تم ارسال المحركات لكلاهما الي الورشة المركزية لأجراء الصيانه والفحص عليه.</t>
  </si>
  <si>
    <t xml:space="preserve"> تم سحب البخارعند الساعه 22:55 بسبب انقطاع المفاجئ للبخاربعد توقف معمل الغاز بالكامل , وحاليا تحت عمليات تدوير المياه .</t>
  </si>
  <si>
    <t>حدث انقطاع مفاجئ للبخارعند الساعه22:45 بسبب توقف معمل الغاز بالكامل , مما تسبب في انخفاض حاد وسريع لضغط  البخار</t>
  </si>
  <si>
    <t xml:space="preserve"> وعلى إثرذالك تم سحب البخار إطراريا من الوحدات رقم 4 , 5 , 1 على التوالي وكذالك الوحداتين رقم 7 و 8 بالمنطقه الاولى . </t>
  </si>
  <si>
    <t xml:space="preserve"> تم سحب البخارعند الساعه 22:50 بسبب انقطاع المفاجئ للبخاربعد توقف معمل الغاز , وحاليا تحت عمليات تدوير المياه.</t>
  </si>
  <si>
    <t xml:space="preserve"> تم سحب البخارعند الساعه 22:55 بسبب انقطاع المفاجئ للبخاربعد توقف معمل الغاز , وحاليا تحت عمليات تدوير المياه.</t>
  </si>
  <si>
    <t xml:space="preserve"> زيادة معدل المياه المحلاة المرسلة من خزانات مصنع اليوريا الي خزانات 11/12 الي 75m³/hr .   </t>
  </si>
  <si>
    <t xml:space="preserve">تم سحب البخارعند الساعه 23:10 بسبب انقطاع البخاربعد توقف معمل الغاز و اعادة التشغيل steam in عند الساعه23:45 </t>
  </si>
  <si>
    <t xml:space="preserve"> تم إيقافها عند الساعه 09:00 لغرض الصيانه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</si>
</sst>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4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46118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1242</v>
      </c>
      <c r="J9" s="23">
        <v>54</v>
      </c>
      <c r="K9" s="24"/>
      <c r="L9" s="23"/>
      <c r="M9" s="23">
        <v>1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/>
      <c r="F10" s="25"/>
      <c r="G10" s="25">
        <v>12</v>
      </c>
      <c r="H10" s="11">
        <v>7</v>
      </c>
      <c r="I10" s="8">
        <v>0</v>
      </c>
      <c r="J10" s="23">
        <v>0</v>
      </c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598</v>
      </c>
      <c r="D11" s="25">
        <v>26</v>
      </c>
      <c r="E11" s="25"/>
      <c r="F11" s="25"/>
      <c r="G11" s="25">
        <v>1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1242</v>
      </c>
      <c r="J12" s="25">
        <v>54</v>
      </c>
      <c r="K12" s="25"/>
      <c r="L12" s="25"/>
      <c r="M12" s="25">
        <v>1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1196</v>
      </c>
      <c r="J13" s="25">
        <v>52</v>
      </c>
      <c r="K13" s="25"/>
      <c r="L13" s="25"/>
      <c r="M13" s="25">
        <v>1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6246</v>
      </c>
      <c r="C16" s="11">
        <f>C9+C10+C11</f>
        <v>1006</v>
      </c>
      <c r="D16" s="11">
        <f>SUM(D9:D15)</f>
        <v>60</v>
      </c>
      <c r="E16" s="25"/>
      <c r="F16" s="11">
        <f>SUM(F12,F10,F11)</f>
        <v>0</v>
      </c>
      <c r="G16" s="11">
        <f>SUM(G9:G11)</f>
        <v>13</v>
      </c>
      <c r="H16" s="13" t="s">
        <v>14</v>
      </c>
      <c r="I16" s="11">
        <f>I9+I10+I11+I12+I13+I14+I15</f>
        <v>5240</v>
      </c>
      <c r="J16" s="11">
        <f>J9+J10+J11+J12+J13+J14+J15</f>
        <v>225</v>
      </c>
      <c r="K16" s="25">
        <v>5</v>
      </c>
      <c r="L16" s="11">
        <f>SUM(L9:L15)</f>
        <v>20</v>
      </c>
      <c r="M16" s="11">
        <f>SUM(M9:M15)</f>
        <v>75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6246</v>
      </c>
      <c r="C21" s="25">
        <v>0</v>
      </c>
      <c r="D21" s="25">
        <v>20</v>
      </c>
      <c r="E21" s="25">
        <v>0</v>
      </c>
      <c r="F21" s="25">
        <v>1006</v>
      </c>
      <c r="G21" s="90">
        <v>0</v>
      </c>
      <c r="H21" s="90"/>
      <c r="I21" s="25">
        <v>0</v>
      </c>
      <c r="J21" s="25">
        <v>0</v>
      </c>
      <c r="K21" s="25">
        <v>0</v>
      </c>
      <c r="L21" s="95">
        <v>5220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0.74</v>
      </c>
      <c r="G22" s="94"/>
      <c r="H22" s="93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30</v>
      </c>
      <c r="C27" s="91"/>
      <c r="D27" s="91">
        <f>G27+F27</f>
        <v>0</v>
      </c>
      <c r="E27" s="91"/>
      <c r="F27" s="30"/>
      <c r="G27" s="92"/>
      <c r="H27" s="92"/>
      <c r="I27" s="91">
        <f>K27+L27+M27</f>
        <v>30</v>
      </c>
      <c r="J27" s="91"/>
      <c r="K27" s="30"/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25</v>
      </c>
      <c r="C28" s="91"/>
      <c r="D28" s="91">
        <f>F28+G28</f>
        <v>0</v>
      </c>
      <c r="E28" s="91"/>
      <c r="F28" s="31"/>
      <c r="G28" s="92"/>
      <c r="H28" s="92"/>
      <c r="I28" s="91">
        <f>K28+L28+M28</f>
        <v>25</v>
      </c>
      <c r="J28" s="91"/>
      <c r="K28" s="31">
        <v>7</v>
      </c>
      <c r="L28" s="31">
        <v>0</v>
      </c>
      <c r="M28" s="62">
        <v>18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8205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6105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</v>
      </c>
      <c r="G33" s="89"/>
      <c r="H33" s="88">
        <v>0.77</v>
      </c>
      <c r="I33" s="89"/>
      <c r="J33" s="88">
        <v>0.71</v>
      </c>
      <c r="K33" s="89"/>
      <c r="L33" s="88">
        <v>0.9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840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82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83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71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81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77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78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2026-04-07T18:50:14Z</dcterms:modified>
  <cp:contentStatus/>
</cp:coreProperties>
</file>