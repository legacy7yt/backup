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<sst xmlns="http://schemas.openxmlformats.org/spreadsheetml/2006/main" count="100" uniqueCount="81">
  <si>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</si>
  <si>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</si>
  <si>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</si>
  <si>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</si>
  <si>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</si>
  <si>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</si>
  <si>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</si>
  <si>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</si>
  <si>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</si>
  <si>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</si>
  <si>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</si>
  <si>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</si>
  <si>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</si>
  <si>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</si>
  <si>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</si>
  <si>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</si>
  <si>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</si>
  <si>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</si>
  <si>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</si>
  <si>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</si>
  <si>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</si>
  <si>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</si>
  <si>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</si>
  <si>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</si>
  <si>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</si>
  <si>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</si>
  <si>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</si>
  <si>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</si>
  <si>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</si>
  <si>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</si>
  <si>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</si>
  <si>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</si>
  <si>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</si>
  <si>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</si>
  <si>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</si>
  <si>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</si>
  <si>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</si>
  <si>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</si>
  <si>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</si>
  <si>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</si>
  <si>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</si>
  <si>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</si>
  <si>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</si>
  <si>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</si>
  <si>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</si>
  <si>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</si>
  <si>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</si>
  <si>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</si>
  <si>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</si>
  <si>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</si>
  <si>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</si>
  <si>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</si>
  <si>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</si>
  <si>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</si>
  <si>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</si>
  <si>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</si>
  <si>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</si>
  <si>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</si>
  <si>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</si>
  <si>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</si>
  <si>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</si>
  <si>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</si>
  <si>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</si>
  <si>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</si>
  <si>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</si>
  <si>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</si>
  <si>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</si>
  <si>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</si>
  <si>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</si>
  <si>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</si>
  <si>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الخزان 202 لازال تحت أعمال الصيانة.</t>
  </si>
  <si>
    <t>%</t>
  </si>
  <si>
    <t xml:space="preserve">على خط الإنتاج إلى خزانات 11/12 . </t>
  </si>
  <si>
    <t>علي خط الانتاج الي خزانات 11/12.</t>
  </si>
  <si>
    <t>على خط الإنتاج إلى خزان  1360    .</t>
  </si>
  <si>
    <t>على  خط الانتاج الى خزان 1360    .</t>
  </si>
  <si>
    <t>علي خط الانتاج الي الخزانات 11/12</t>
  </si>
  <si>
    <t>تحت اعمال الصيانة</t>
  </si>
  <si>
    <t>.في انتظار وصول باقي المواد لتنفيذ اعمال العمرة السنوية</t>
  </si>
  <si>
    <t xml:space="preserve">تم زيادة نسبة تدفق المياه المحلاه من تحلية اليوريا بنسبة 40% عند الساعة 19:45 ليصبح معدل التدفق 90 طن/الساعة . </t>
  </si>
  <si>
    <t>عماد بيان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</si>
</sst>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view="pageLayout" topLeftCell="B5" zoomScale="120" zoomScaleNormal="120" zoomScalePageLayoutView="120" workbookViewId="0">
      <selection activeCell="B5" sqref="B5:C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v>45759</v>
      </c>
      <c r="C5" s="99"/>
      <c r="D5" s="35" t="s">
        <v>4</v>
      </c>
      <c r="G5" s="100" t="s">
        <v>5</v>
      </c>
      <c r="H5" s="100"/>
      <c r="I5" s="100"/>
      <c r="L5" s="101">
        <v>0</v>
      </c>
      <c r="M5" s="101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5.0999999999999996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2.2000000000000002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1.8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7.8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4.4000000000000004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5400</v>
      </c>
      <c r="C16" s="11">
        <f>C9+C10+C11</f>
        <v>1296</v>
      </c>
      <c r="D16" s="11">
        <f>SUM(D9:D15)</f>
        <v>54</v>
      </c>
      <c r="E16" s="25">
        <v>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4104</v>
      </c>
      <c r="J16" s="11">
        <f>J9+J10+J11+J12+J13+J14+J15</f>
        <v>171</v>
      </c>
      <c r="K16" s="25">
        <v>5.8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5400</v>
      </c>
      <c r="C21" s="25">
        <v>0</v>
      </c>
      <c r="D21" s="25">
        <v>20</v>
      </c>
      <c r="E21" s="25"/>
      <c r="F21" s="25">
        <v>1296</v>
      </c>
      <c r="G21" s="90"/>
      <c r="H21" s="90"/>
      <c r="I21" s="25"/>
      <c r="J21" s="25">
        <v>0</v>
      </c>
      <c r="K21" s="25">
        <v>0</v>
      </c>
      <c r="L21" s="95">
        <v>4084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0.89</v>
      </c>
      <c r="G22" s="94"/>
      <c r="H22" s="93"/>
      <c r="I22" s="49"/>
      <c r="J22" s="50"/>
      <c r="K22" s="50"/>
      <c r="L22" s="37">
        <v>0.76</v>
      </c>
      <c r="M22" s="37">
        <v>0.77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64</v>
      </c>
      <c r="J27" s="91"/>
      <c r="K27" s="30">
        <v>25</v>
      </c>
      <c r="L27" s="30">
        <v>0</v>
      </c>
      <c r="M27" s="59">
        <v>39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80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60</v>
      </c>
      <c r="J28" s="91"/>
      <c r="K28" s="31">
        <v>30</v>
      </c>
      <c r="L28" s="31">
        <v>0</v>
      </c>
      <c r="M28" s="62">
        <v>30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7910</v>
      </c>
      <c r="C32" s="91"/>
      <c r="D32" s="90">
        <v>0</v>
      </c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5810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71</v>
      </c>
      <c r="F33" s="88">
        <v>0</v>
      </c>
      <c r="G33" s="89"/>
      <c r="H33" s="88">
        <v>0.91</v>
      </c>
      <c r="I33" s="89"/>
      <c r="J33" s="88">
        <v>0.82</v>
      </c>
      <c r="K33" s="89"/>
      <c r="L33" s="88">
        <v>0.96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2"/>
      <c r="W36" s="102"/>
      <c r="X36" s="102"/>
      <c r="Y36" s="102"/>
      <c r="Z36" s="102"/>
      <c r="AA36" s="102"/>
      <c r="AB36" s="102"/>
      <c r="AC36" s="102"/>
      <c r="AD36" s="102"/>
      <c r="AE36" s="102"/>
      <c r="AF36" s="102"/>
      <c r="AG36" s="102"/>
    </row>
    <row r="37" spans="1:33" ht="15.95" customHeight="1">
      <c r="A37" s="5"/>
      <c r="B37" s="87">
        <f>SUM(D37:N37)</f>
        <v>23750</v>
      </c>
      <c r="C37" s="87"/>
      <c r="D37" s="25">
        <v>100</v>
      </c>
      <c r="E37" s="90">
        <v>8000</v>
      </c>
      <c r="F37" s="90"/>
      <c r="G37" s="90">
        <v>9000</v>
      </c>
      <c r="H37" s="90"/>
      <c r="I37" s="25">
        <v>0</v>
      </c>
      <c r="J37" s="25">
        <v>1250</v>
      </c>
      <c r="K37" s="25">
        <v>0</v>
      </c>
      <c r="L37" s="25">
        <v>1500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6" t="s">
        <v>51</v>
      </c>
      <c r="G39" s="107"/>
      <c r="H39" s="90">
        <v>1360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5" t="s">
        <v>58</v>
      </c>
      <c r="C40" s="105"/>
      <c r="D40" s="105"/>
      <c r="E40" s="105"/>
      <c r="F40" s="105"/>
      <c r="G40" s="105"/>
      <c r="H40" s="105"/>
      <c r="I40" s="105"/>
      <c r="J40" s="105"/>
      <c r="K40" s="105"/>
      <c r="L40" s="105"/>
      <c r="M40" s="60"/>
      <c r="N40" s="19" t="s">
        <v>38</v>
      </c>
      <c r="O40" s="7"/>
    </row>
    <row r="41" spans="1:33" ht="15" customHeight="1">
      <c r="A41" s="5"/>
      <c r="B41" s="75" t="s">
        <v>74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75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8" t="s">
        <v>59</v>
      </c>
      <c r="C44" s="109"/>
      <c r="D44" s="109"/>
      <c r="E44" s="109"/>
      <c r="F44" s="109"/>
      <c r="G44" s="109"/>
      <c r="H44" s="109"/>
      <c r="I44" s="109"/>
      <c r="J44" s="109"/>
      <c r="K44" s="109"/>
      <c r="L44" s="109"/>
      <c r="M44" s="109"/>
      <c r="N44" s="110"/>
      <c r="O44" s="7"/>
    </row>
    <row r="45" spans="1:33">
      <c r="A45" s="5"/>
      <c r="B45" s="74" t="s">
        <v>72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78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73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76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77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82" t="s">
        <v>68</v>
      </c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4"/>
      <c r="O52" s="7"/>
    </row>
    <row r="53" spans="1:23" ht="15.75" customHeight="1">
      <c r="A53" s="5"/>
      <c r="B53" s="77" t="s">
        <v>70</v>
      </c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9"/>
      <c r="N53" s="65">
        <v>-1</v>
      </c>
      <c r="O53" s="7"/>
    </row>
    <row r="54" spans="1:23" ht="14.25" customHeight="1">
      <c r="A54" s="5"/>
      <c r="B54" s="80" t="s">
        <v>79</v>
      </c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1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77"/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9"/>
      <c r="N56" s="65">
        <v>-4</v>
      </c>
      <c r="O56" s="7"/>
    </row>
    <row r="57" spans="1:23" ht="14.25" customHeight="1">
      <c r="A57" s="5"/>
      <c r="B57" s="72" t="s">
        <v>80</v>
      </c>
      <c r="C57" s="104" t="s">
        <v>41</v>
      </c>
      <c r="D57" s="104"/>
      <c r="E57" s="103"/>
      <c r="F57" s="103"/>
      <c r="G57" s="103"/>
      <c r="H57" s="103"/>
      <c r="I57" s="103"/>
      <c r="J57" s="103"/>
      <c r="K57" s="103"/>
      <c r="L57" s="103"/>
      <c r="M57" s="103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6J0NhGIo/eXkh5+UOd3amlJPoUdUqKCbiod+6dKsSOq6VcVOHnugWW4ByyDJgK0bt6QXPaGKPPd+85IafUhx8Q==" saltValue="Fc1YtjRQFHCb+/1CWBy13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2025-12-04T18:28:03Z</dcterms:modified>
  <cp:contentStatus/>
</cp:coreProperties>
</file>