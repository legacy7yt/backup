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<sst xmlns="http://schemas.openxmlformats.org/spreadsheetml/2006/main" count="101" uniqueCount="83">
  <si>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</si>
  <si>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</si>
  <si>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</si>
  <si>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</si>
  <si>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</si>
  <si>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</si>
  <si>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</si>
  <si>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</si>
  <si>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</si>
  <si>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</si>
  <si>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</si>
  <si>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</si>
  <si>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</si>
  <si>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</si>
  <si>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</si>
  <si>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</si>
  <si>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</si>
  <si>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</si>
  <si>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</si>
  <si>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</si>
  <si>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</si>
  <si>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</si>
  <si>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</si>
  <si>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</si>
  <si>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</si>
  <si>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</si>
  <si>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</si>
  <si>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</si>
  <si>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</si>
  <si>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</si>
  <si>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</si>
  <si>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</si>
  <si>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</si>
  <si>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</si>
  <si>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</si>
  <si>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</si>
  <si>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</si>
  <si>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</si>
  <si>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</si>
  <si>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</si>
  <si>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</si>
  <si>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</si>
  <si>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</si>
  <si>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</si>
  <si>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</si>
  <si>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</si>
  <si>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</si>
  <si>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</si>
  <si>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</si>
  <si>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</si>
  <si>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</si>
  <si>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</si>
  <si>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</si>
  <si>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</si>
  <si>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</si>
  <si>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</si>
  <si>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</si>
  <si>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</si>
  <si>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</si>
  <si>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</si>
  <si>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</si>
  <si>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</si>
  <si>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</si>
  <si>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</si>
  <si>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</si>
  <si>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</si>
  <si>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</si>
  <si>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</si>
  <si>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</si>
  <si>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</si>
  <si>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</si>
  <si>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</si>
  <si>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</si>
  <si>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تحت اعمال الصيانة</t>
  </si>
  <si>
    <t xml:space="preserve"> على خط الانتاج الي الخزان 1360.</t>
  </si>
  <si>
    <t>علي خط الانتاج الي الخزان 1360.</t>
  </si>
  <si>
    <t xml:space="preserve"> على خط الانتاج إلى خزانات 11/12.</t>
  </si>
  <si>
    <t>علي خط الانتاج الي الخزانات 11/12.</t>
  </si>
  <si>
    <t>على خط الانتاج إلى خزانات 11/12.</t>
  </si>
  <si>
    <t xml:space="preserve"> كمية البخار المرسلة من مصنع اليوريا إلى محطة التحليه الثانيه مستمرة بمعدل 12 طن / ساعة .</t>
  </si>
  <si>
    <t xml:space="preserve"> المياه المحلاة المرسلة من خزانات تحلية اليوريا الي خزانات 11/12 مستمرة بمعدل 30 ساعة</t>
  </si>
  <si>
    <t>المياه المحلاة المرسله من التحليه الاولي الي خزانات 11/12 تم فتحها من الساعة 22:00ولا زالت مستمرة.</t>
  </si>
  <si>
    <t>حماتة محمد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</si>
</sst>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1" zoomScale="130" zoomScaleNormal="130" zoomScalePageLayoutView="120" workbookViewId="0">
      <selection activeCell="J33" sqref="J33:K3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46146</v>
      </c>
      <c r="C5" s="85"/>
      <c r="D5" s="35" t="s">
        <v>4</v>
      </c>
      <c r="G5" s="86" t="s">
        <v>5</v>
      </c>
      <c r="H5" s="86"/>
      <c r="I5" s="86"/>
      <c r="L5" s="88"/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7.8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</v>
      </c>
      <c r="F11" s="25">
        <v>11</v>
      </c>
      <c r="G11" s="25"/>
      <c r="H11" s="11">
        <v>8</v>
      </c>
      <c r="I11" s="8">
        <f>J11*(24-M11)</f>
        <v>1392</v>
      </c>
      <c r="J11" s="25">
        <v>58</v>
      </c>
      <c r="K11" s="25">
        <v>7.7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6.9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5376</v>
      </c>
      <c r="C16" s="11">
        <f>C9+C10+C11</f>
        <v>1440</v>
      </c>
      <c r="D16" s="11">
        <f>SUM(D9:D15)</f>
        <v>60</v>
      </c>
      <c r="E16" s="25">
        <v>2.2000000000000002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3936</v>
      </c>
      <c r="J16" s="11">
        <f>J9+J10+J11+J12+J13+J14+J15</f>
        <v>164</v>
      </c>
      <c r="K16" s="25">
        <v>6.5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5376</v>
      </c>
      <c r="C21" s="25">
        <v>0</v>
      </c>
      <c r="D21" s="25">
        <v>20</v>
      </c>
      <c r="E21" s="25">
        <v>0</v>
      </c>
      <c r="F21" s="25">
        <v>1440</v>
      </c>
      <c r="G21" s="78">
        <v>0</v>
      </c>
      <c r="H21" s="78"/>
      <c r="I21" s="25"/>
      <c r="J21" s="25">
        <v>0</v>
      </c>
      <c r="K21" s="25">
        <v>0</v>
      </c>
      <c r="L21" s="91">
        <v>3916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0.73</v>
      </c>
      <c r="F22" s="56">
        <v>0.94</v>
      </c>
      <c r="G22" s="89"/>
      <c r="H22" s="90"/>
      <c r="I22" s="49"/>
      <c r="J22" s="50"/>
      <c r="K22" s="50"/>
      <c r="L22" s="37">
        <v>0.67</v>
      </c>
      <c r="M22" s="37">
        <v>0.67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41</v>
      </c>
      <c r="L27" s="30">
        <v>12</v>
      </c>
      <c r="M27" s="59">
        <v>17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86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65</v>
      </c>
      <c r="J28" s="94"/>
      <c r="K28" s="31">
        <v>57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8047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5947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0.78</v>
      </c>
      <c r="G33" s="98"/>
      <c r="H33" s="97">
        <v>0.68</v>
      </c>
      <c r="I33" s="98"/>
      <c r="J33" s="97">
        <v>0.68</v>
      </c>
      <c r="K33" s="98"/>
      <c r="L33" s="97">
        <v>0.87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28050</v>
      </c>
      <c r="C37" s="77"/>
      <c r="D37" s="25">
        <v>100</v>
      </c>
      <c r="E37" s="78">
        <v>8000</v>
      </c>
      <c r="F37" s="78"/>
      <c r="G37" s="78">
        <v>10000</v>
      </c>
      <c r="H37" s="78"/>
      <c r="I37" s="25">
        <v>5000</v>
      </c>
      <c r="J37" s="25">
        <v>750</v>
      </c>
      <c r="K37" s="25">
        <v>200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720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74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76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77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78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73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80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79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81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82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2026-05-04T22:37:17Z</dcterms:modified>
  <cp:contentStatus/>
</cp:coreProperties>
</file>