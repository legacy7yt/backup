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<sst xmlns="http://schemas.openxmlformats.org/spreadsheetml/2006/main" count="102" uniqueCount="81">
  <si>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</si>
  <si>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</si>
  <si>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</si>
  <si>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</si>
  <si>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</si>
  <si>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</si>
  <si>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</si>
  <si>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</si>
  <si>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</si>
  <si>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</si>
  <si>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</si>
  <si>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</si>
  <si>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</si>
  <si>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</si>
  <si>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</si>
  <si>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</si>
  <si>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</si>
  <si>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</si>
  <si>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</si>
  <si>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</si>
  <si>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</si>
  <si>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</si>
  <si>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</si>
  <si>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</si>
  <si>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</si>
  <si>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</si>
  <si>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</si>
  <si>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</si>
  <si>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</si>
  <si>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</si>
  <si>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</si>
  <si>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</si>
  <si>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</si>
  <si>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</si>
  <si>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</si>
  <si>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</si>
  <si>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</si>
  <si>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</si>
  <si>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</si>
  <si>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</si>
  <si>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</si>
  <si>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</si>
  <si>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</si>
  <si>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</si>
  <si>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</si>
  <si>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</si>
  <si>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</si>
  <si>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</si>
  <si>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</si>
  <si>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</si>
  <si>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</si>
  <si>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</si>
  <si>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</si>
  <si>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</si>
  <si>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</si>
  <si>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</si>
  <si>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</si>
  <si>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</si>
  <si>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</si>
  <si>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</si>
  <si>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</si>
  <si>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</si>
  <si>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</si>
  <si>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</si>
  <si>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</si>
  <si>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</si>
  <si>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</si>
  <si>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</si>
  <si>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</si>
  <si>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</si>
  <si>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</si>
  <si>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</si>
  <si>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</si>
  <si>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</si>
  <si>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</si>
  <si>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على خط الانتاج الي الخزان 1360 .</t>
  </si>
  <si>
    <t xml:space="preserve">  المياة المحلاة من تحلية اليوريا الي تحلية  الخزانات 11/12 مستمرة بمعدل 15م /ساعة</t>
  </si>
  <si>
    <t>جاهزة للتشغيل في انتظارالبخار.</t>
  </si>
  <si>
    <t>الوحدة رقم 7 تم اقافها عند ساعة07:15 بسبب قلت ضغط المياة المغذية للوحدةوتم تشغيلها عند ساعة 09:30 ودخلت علي خط الانتاج.</t>
  </si>
  <si>
    <t>الوحدة رقم 8 تم اقافها عند ساعة 01:30  بسبب ارتفاع الموصلية وتم ارجاعها علي خط النتاج عند ساعة 14:30.</t>
  </si>
  <si>
    <t>يتم ارسال ( 16 طن/ ساعه )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</si>
</sst>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45" zoomScaleNormal="145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46047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748</v>
      </c>
      <c r="D10" s="25">
        <v>34</v>
      </c>
      <c r="E10" s="25">
        <v>3</v>
      </c>
      <c r="F10" s="25">
        <v>11</v>
      </c>
      <c r="G10" s="25">
        <v>2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240</v>
      </c>
      <c r="D11" s="25">
        <v>20</v>
      </c>
      <c r="E11" s="25">
        <v>14</v>
      </c>
      <c r="F11" s="25">
        <v>11</v>
      </c>
      <c r="G11" s="25">
        <v>12</v>
      </c>
      <c r="H11" s="11">
        <v>8</v>
      </c>
      <c r="I11" s="8">
        <f>J11*(24-M11)</f>
        <v>1608</v>
      </c>
      <c r="J11" s="25">
        <v>67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4.8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5044</v>
      </c>
      <c r="C16" s="11">
        <f>C9+C10+C11</f>
        <v>988</v>
      </c>
      <c r="D16" s="11">
        <f>SUM(D9:D15)</f>
        <v>54</v>
      </c>
      <c r="E16" s="25">
        <v>8.5</v>
      </c>
      <c r="F16" s="11">
        <f>SUM(F12,F10,F11)</f>
        <v>22</v>
      </c>
      <c r="G16" s="11">
        <f>SUM(G9:G11)</f>
        <v>14</v>
      </c>
      <c r="H16" s="13" t="s">
        <v>14</v>
      </c>
      <c r="I16" s="11">
        <f>I9+I10+I11+I12+I13+I14+I15</f>
        <v>4056</v>
      </c>
      <c r="J16" s="11">
        <f>J9+J10+J11+J12+J13+J14+J15</f>
        <v>169</v>
      </c>
      <c r="K16" s="25">
        <v>4.9000000000000004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5044</v>
      </c>
      <c r="C21" s="25">
        <v>0</v>
      </c>
      <c r="D21" s="25">
        <v>20</v>
      </c>
      <c r="E21" s="25"/>
      <c r="F21" s="25">
        <v>988</v>
      </c>
      <c r="G21" s="78"/>
      <c r="H21" s="78"/>
      <c r="I21" s="25"/>
      <c r="J21" s="25">
        <v>0</v>
      </c>
      <c r="K21" s="25">
        <v>0</v>
      </c>
      <c r="L21" s="91">
        <v>4036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0.72</v>
      </c>
      <c r="G22" s="89"/>
      <c r="H22" s="90"/>
      <c r="I22" s="49"/>
      <c r="J22" s="50"/>
      <c r="K22" s="50"/>
      <c r="L22" s="37">
        <v>0.56000000000000005</v>
      </c>
      <c r="M22" s="37">
        <v>0.6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64</v>
      </c>
      <c r="J27" s="94"/>
      <c r="K27" s="30">
        <v>39</v>
      </c>
      <c r="L27" s="30">
        <v>16</v>
      </c>
      <c r="M27" s="59">
        <v>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79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58</v>
      </c>
      <c r="J28" s="94"/>
      <c r="K28" s="31">
        <v>35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5852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3752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0.78</v>
      </c>
      <c r="I33" s="98"/>
      <c r="J33" s="97">
        <v>0.79</v>
      </c>
      <c r="K33" s="98"/>
      <c r="L33" s="97">
        <v>0.97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27500</v>
      </c>
      <c r="C37" s="77"/>
      <c r="D37" s="25">
        <v>100</v>
      </c>
      <c r="E37" s="78">
        <v>7400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79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2026-01-25T23:55:43Z</dcterms:modified>
  <cp:contentStatus/>
</cp:coreProperties>
</file>