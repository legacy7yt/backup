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<sst xmlns="http://schemas.openxmlformats.org/spreadsheetml/2006/main" count="102" uniqueCount="83">
  <si>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</si>
  <si>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</si>
  <si>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</si>
  <si>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</si>
  <si>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</si>
  <si>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</si>
  <si>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</si>
  <si>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</si>
  <si>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</si>
  <si>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</si>
  <si>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</si>
  <si>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</si>
  <si>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</si>
  <si>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</si>
  <si>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</si>
  <si>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</si>
  <si>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</si>
  <si>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</si>
  <si>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</si>
  <si>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</si>
  <si>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</si>
  <si>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</si>
  <si>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</si>
  <si>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</si>
  <si>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</si>
  <si>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</si>
  <si>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</si>
  <si>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</si>
  <si>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</si>
  <si>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</si>
  <si>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</si>
  <si>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</si>
  <si>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</si>
  <si>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</si>
  <si>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</si>
  <si>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</si>
  <si>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</si>
  <si>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</si>
  <si>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</si>
  <si>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</si>
  <si>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</si>
  <si>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</si>
  <si>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</si>
  <si>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</si>
  <si>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</si>
  <si>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</si>
  <si>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</si>
  <si>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</si>
  <si>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</si>
  <si>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</si>
  <si>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</si>
  <si>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</si>
  <si>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</si>
  <si>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</si>
  <si>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</si>
  <si>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</si>
  <si>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</si>
  <si>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</si>
  <si>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</si>
  <si>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</si>
  <si>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</si>
  <si>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</si>
  <si>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</si>
  <si>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</si>
  <si>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</si>
  <si>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</si>
  <si>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</si>
  <si>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</si>
  <si>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</si>
  <si>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</si>
  <si>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</si>
  <si>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.في انتظار وصول باقي المواد لتنفيذ اعمال العمرة السنوية</t>
  </si>
  <si>
    <t xml:space="preserve"> وليد محمد</t>
  </si>
  <si>
    <t>علي خط الانتاج الي خزانات ( TK-11/12).</t>
  </si>
  <si>
    <t xml:space="preserve">علي خط الانتاج الي خزانات ( TK-11/12). </t>
  </si>
  <si>
    <t>تحت أعمال الصيانه .</t>
  </si>
  <si>
    <t xml:space="preserve"> علي خط الإنتاج الي خزان (TK-1360) .</t>
  </si>
  <si>
    <t xml:space="preserve"> كمية مياه البحرالمرسلة الي الشركة الليبيه للإسمدة ( لايفيكو ) 23200m³/Hr . </t>
  </si>
  <si>
    <t xml:space="preserve"> علي خط الإنتاج الي خزان (TK-1360) .  </t>
  </si>
  <si>
    <t xml:space="preserve"> المياه المحلاه المرسله من تحلية اليوريا إلى ( 11/12- TK)  مستمره بمعدل 55m³/Hr .</t>
  </si>
  <si>
    <t xml:space="preserve"> </t>
  </si>
  <si>
    <t>↑</t>
  </si>
  <si>
    <t>علي خط الإنتاج الي خزانات ( DT-1 / DT-2 ) منذ الساعه 08:30am , بسبب ارتفاع الموصليه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</si>
</sst>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9" zoomScale="130" zoomScaleNormal="130" zoomScalePageLayoutView="120" workbookViewId="0">
      <selection activeCell="B48" sqref="B48:M48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46081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0</v>
      </c>
      <c r="J9" s="23"/>
      <c r="K9" s="24"/>
      <c r="L9" s="23"/>
      <c r="M9" s="23">
        <v>24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3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6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1080</v>
      </c>
      <c r="J12" s="25">
        <v>45</v>
      </c>
      <c r="K12" s="25" t="s">
        <v>81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1224</v>
      </c>
      <c r="J13" s="25">
        <v>51</v>
      </c>
      <c r="K13" s="25">
        <v>18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5304</v>
      </c>
      <c r="C16" s="11">
        <f>C9+C10+C11</f>
        <v>1440</v>
      </c>
      <c r="D16" s="11">
        <f>SUM(D9:D15)</f>
        <v>60</v>
      </c>
      <c r="E16" s="25">
        <v>4.5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3864</v>
      </c>
      <c r="J16" s="11">
        <f>J9+J10+J11+J12+J13+J14+J15</f>
        <v>161</v>
      </c>
      <c r="K16" s="25">
        <v>11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5304</v>
      </c>
      <c r="C21" s="25">
        <v>0</v>
      </c>
      <c r="D21" s="25">
        <v>20</v>
      </c>
      <c r="E21" s="25"/>
      <c r="F21" s="25">
        <v>1440</v>
      </c>
      <c r="G21" s="90">
        <v>720</v>
      </c>
      <c r="H21" s="90"/>
      <c r="I21" s="25"/>
      <c r="J21" s="25">
        <v>0</v>
      </c>
      <c r="K21" s="25">
        <v>0</v>
      </c>
      <c r="L21" s="95">
        <v>3124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0.64</v>
      </c>
      <c r="F22" s="56">
        <v>0.54</v>
      </c>
      <c r="G22" s="94"/>
      <c r="H22" s="93"/>
      <c r="I22" s="49"/>
      <c r="J22" s="50"/>
      <c r="K22" s="50"/>
      <c r="L22" s="37">
        <v>0.89</v>
      </c>
      <c r="M22" s="37">
        <v>0.88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88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66</v>
      </c>
      <c r="J27" s="91"/>
      <c r="K27" s="30">
        <v>37</v>
      </c>
      <c r="L27" s="30">
        <v>0</v>
      </c>
      <c r="M27" s="59">
        <v>29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80</v>
      </c>
      <c r="C28" s="91"/>
      <c r="D28" s="91">
        <f>F28+G28</f>
        <v>20</v>
      </c>
      <c r="E28" s="91"/>
      <c r="F28" s="31">
        <v>0</v>
      </c>
      <c r="G28" s="92">
        <v>20</v>
      </c>
      <c r="H28" s="92"/>
      <c r="I28" s="91">
        <f>K28+L28+M28</f>
        <v>60</v>
      </c>
      <c r="J28" s="91"/>
      <c r="K28" s="31">
        <v>44</v>
      </c>
      <c r="L28" s="31">
        <v>0</v>
      </c>
      <c r="M28" s="62">
        <v>16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7318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5218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0.65</v>
      </c>
      <c r="G33" s="89"/>
      <c r="H33" s="88">
        <v>0.63</v>
      </c>
      <c r="I33" s="89"/>
      <c r="J33" s="88">
        <v>0.81</v>
      </c>
      <c r="K33" s="89"/>
      <c r="L33" s="88">
        <v>0.91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27200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1320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78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76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75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71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73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82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74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79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77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80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72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2026-03-01T11:39:36Z</dcterms:modified>
  <cp:contentStatus/>
</cp:coreProperties>
</file>