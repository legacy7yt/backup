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<sst xmlns="http://schemas.openxmlformats.org/spreadsheetml/2006/main" count="102" uniqueCount="83">
  <si>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</si>
  <si>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</si>
  <si>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</si>
  <si>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</si>
  <si>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</si>
  <si>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</si>
  <si>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</si>
  <si>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</si>
  <si>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</si>
  <si>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</si>
  <si>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</si>
  <si>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</si>
  <si>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</si>
  <si>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</si>
  <si>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</si>
  <si>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</si>
  <si>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</si>
  <si>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</si>
  <si>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</si>
  <si>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</si>
  <si>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</si>
  <si>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</si>
  <si>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</si>
  <si>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</si>
  <si>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</si>
  <si>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</si>
  <si>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</si>
  <si>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</si>
  <si>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</si>
  <si>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</si>
  <si>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</si>
  <si>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</si>
  <si>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</si>
  <si>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</si>
  <si>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</si>
  <si>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</si>
  <si>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</si>
  <si>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</si>
  <si>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</si>
  <si>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</si>
  <si>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</si>
  <si>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</si>
  <si>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</si>
  <si>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</si>
  <si>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</si>
  <si>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</si>
  <si>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</si>
  <si>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</si>
  <si>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</si>
  <si>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</si>
  <si>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</si>
  <si>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</si>
  <si>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</si>
  <si>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</si>
  <si>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</si>
  <si>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</si>
  <si>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</si>
  <si>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</si>
  <si>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</si>
  <si>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</si>
  <si>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</si>
  <si>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</si>
  <si>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</si>
  <si>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</si>
  <si>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</si>
  <si>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</si>
  <si>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</si>
  <si>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</si>
  <si>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</si>
  <si>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</si>
  <si>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 على خط  الإنتاج إلى خزان 1360.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</si>
  <si>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</si>
  <si>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</si>
  <si>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</si>
  <si>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</si>
  <si>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</si>
  <si>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تم زيادة معدل المياه المحلاة المرسلة من خزانات مصنع اليوريا الي خزانات 11/12 مبدائيا الي 55m³/hr منذ الساعه 23:50 .   </t>
  </si>
  <si>
    <t xml:space="preserve"> المضخة الكهربائية 101C والمضخه 1105 تم ارسال المحركات لكلاهما الي الورشة المركزية لأجراء الصيانه والفحص عليه.</t>
  </si>
  <si>
    <t xml:space="preserve">حدث انقطاع مفاجئ للبخار عند الساعه22:45 بسبب عطل في غلايات البخارلمصنع الغاز, مما تسبب في انخفاض حاد وسريع لضغط  </t>
  </si>
  <si>
    <t xml:space="preserve"> تم سحب البخارعند الساعه 23:10 بسبب انقطاع المفاجئ للبخار و تم اعادة التشغيل steam in عند الساعه 23:45 .</t>
  </si>
  <si>
    <t xml:space="preserve"> تم سحب البخارعند الساعه 22:55 بسبب انقطاع المفاجئ للبخار, وحاليا تحت عمليات التشغيل في انتظار توفر البخار.</t>
  </si>
  <si>
    <t xml:space="preserve"> تم سحب البخارعند الساعه 23:00 بسبب انقطاع المفاجئ للبخار, وحاليا تحت عمليات التشغيل في انتظار توفر البخار.</t>
  </si>
  <si>
    <t xml:space="preserve"> البخار, وعلى إثرذالك تم سحب البخارإطراريا من الوحدات رقم 4 , 5 , 1 على التوالي وكذالك الوحداتين رقم 7 و 8 بالمنطقه الاولى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</si>
</sst>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0" zoomScale="130" zoomScaleNormal="130" zoomScalePageLayoutView="120" workbookViewId="0">
      <selection activeCell="F28" sqref="F28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46118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1242</v>
      </c>
      <c r="J9" s="23">
        <v>54</v>
      </c>
      <c r="K9" s="24"/>
      <c r="L9" s="23"/>
      <c r="M9" s="23">
        <v>1</v>
      </c>
      <c r="N9" s="9">
        <v>1</v>
      </c>
      <c r="O9" s="7"/>
    </row>
    <row r="10" spans="1:16" ht="15.95" customHeight="1">
      <c r="A10" s="5"/>
      <c r="B10" s="27"/>
      <c r="C10" s="11">
        <f>D10*(24-G10)</f>
        <v>408</v>
      </c>
      <c r="D10" s="25">
        <v>34</v>
      </c>
      <c r="E10" s="25"/>
      <c r="F10" s="25"/>
      <c r="G10" s="25">
        <v>12</v>
      </c>
      <c r="H10" s="11">
        <v>7</v>
      </c>
      <c r="I10" s="8">
        <v>0</v>
      </c>
      <c r="J10" s="23">
        <v>0</v>
      </c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598</v>
      </c>
      <c r="D11" s="25">
        <v>26</v>
      </c>
      <c r="E11" s="25"/>
      <c r="F11" s="25"/>
      <c r="G11" s="25">
        <v>1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1242</v>
      </c>
      <c r="J12" s="25">
        <v>54</v>
      </c>
      <c r="K12" s="25"/>
      <c r="L12" s="25"/>
      <c r="M12" s="25">
        <v>1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1196</v>
      </c>
      <c r="J13" s="25">
        <v>52</v>
      </c>
      <c r="K13" s="25"/>
      <c r="L13" s="25"/>
      <c r="M13" s="25">
        <v>1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6246</v>
      </c>
      <c r="C16" s="11">
        <f>C9+C10+C11</f>
        <v>1006</v>
      </c>
      <c r="D16" s="11">
        <f>SUM(D9:D15)</f>
        <v>60</v>
      </c>
      <c r="E16" s="25"/>
      <c r="F16" s="11">
        <f>SUM(F12,F10,F11)</f>
        <v>0</v>
      </c>
      <c r="G16" s="11">
        <f>SUM(G9:G11)</f>
        <v>13</v>
      </c>
      <c r="H16" s="13" t="s">
        <v>14</v>
      </c>
      <c r="I16" s="11">
        <f>I9+I10+I11+I12+I13+I14+I15</f>
        <v>5240</v>
      </c>
      <c r="J16" s="11">
        <f>J9+J10+J11+J12+J13+J14+J15</f>
        <v>225</v>
      </c>
      <c r="K16" s="25">
        <v>5</v>
      </c>
      <c r="L16" s="11">
        <f>SUM(L9:L15)</f>
        <v>20</v>
      </c>
      <c r="M16" s="11">
        <f>SUM(M9:M15)</f>
        <v>75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6246</v>
      </c>
      <c r="C21" s="25">
        <v>0</v>
      </c>
      <c r="D21" s="25">
        <v>20</v>
      </c>
      <c r="E21" s="25">
        <v>0</v>
      </c>
      <c r="F21" s="25">
        <v>1006</v>
      </c>
      <c r="G21" s="78">
        <v>0</v>
      </c>
      <c r="H21" s="78"/>
      <c r="I21" s="25">
        <v>0</v>
      </c>
      <c r="J21" s="25">
        <v>0</v>
      </c>
      <c r="K21" s="25">
        <v>0</v>
      </c>
      <c r="L21" s="91">
        <v>5220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0.74</v>
      </c>
      <c r="G22" s="89"/>
      <c r="H22" s="90"/>
      <c r="I22" s="49"/>
      <c r="J22" s="50"/>
      <c r="K22" s="50"/>
      <c r="L22" s="37">
        <v>0.99</v>
      </c>
      <c r="M22" s="37">
        <v>0.99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30</v>
      </c>
      <c r="C27" s="94"/>
      <c r="D27" s="94">
        <f>G27+F27</f>
        <v>0</v>
      </c>
      <c r="E27" s="94"/>
      <c r="F27" s="30"/>
      <c r="G27" s="95"/>
      <c r="H27" s="95"/>
      <c r="I27" s="94">
        <f>K27+L27+M27</f>
        <v>30</v>
      </c>
      <c r="J27" s="94"/>
      <c r="K27" s="30"/>
      <c r="L27" s="30">
        <v>12</v>
      </c>
      <c r="M27" s="59">
        <v>18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25</v>
      </c>
      <c r="C28" s="94"/>
      <c r="D28" s="94">
        <f>F28+G28</f>
        <v>0</v>
      </c>
      <c r="E28" s="94"/>
      <c r="F28" s="31"/>
      <c r="G28" s="95"/>
      <c r="H28" s="95"/>
      <c r="I28" s="94">
        <f>K28+L28+M28</f>
        <v>25</v>
      </c>
      <c r="J28" s="94"/>
      <c r="K28" s="31">
        <v>7</v>
      </c>
      <c r="L28" s="31">
        <v>0</v>
      </c>
      <c r="M28" s="62">
        <v>18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8121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6021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0.9</v>
      </c>
      <c r="G33" s="98"/>
      <c r="H33" s="97">
        <v>0.77</v>
      </c>
      <c r="I33" s="98"/>
      <c r="J33" s="97">
        <v>0.7</v>
      </c>
      <c r="K33" s="98"/>
      <c r="L33" s="97">
        <v>0.91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840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70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70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79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74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80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81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72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73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76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77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78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82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75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2026-04-07T02:00:13Z</dcterms:modified>
  <cp:contentStatus/>
</cp:coreProperties>
</file>