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<sst xmlns="http://schemas.openxmlformats.org/spreadsheetml/2006/main" count="100" uniqueCount="79">
  <si>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</si>
  <si>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</si>
  <si>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</si>
  <si>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</si>
  <si>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</si>
  <si>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</si>
  <si>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</si>
  <si>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</si>
  <si>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</si>
  <si>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</si>
  <si>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</si>
  <si>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</si>
  <si>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</si>
  <si>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</si>
  <si>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</si>
  <si>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</si>
  <si>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</si>
  <si>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</si>
  <si>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</si>
  <si>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</si>
  <si>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</si>
  <si>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</si>
  <si>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</si>
  <si>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</si>
  <si>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</si>
  <si>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</si>
  <si>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</si>
  <si>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</si>
  <si>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</si>
  <si>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</si>
  <si>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</si>
  <si>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</si>
  <si>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</si>
  <si>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</si>
  <si>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</si>
  <si>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</si>
  <si>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</si>
  <si>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</si>
  <si>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</si>
  <si>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</si>
  <si>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</si>
  <si>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</si>
  <si>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</si>
  <si>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</si>
  <si>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</si>
  <si>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</si>
  <si>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</si>
  <si>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</si>
  <si>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</si>
  <si>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</si>
  <si>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</si>
  <si>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</si>
  <si>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</si>
  <si>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</si>
  <si>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</si>
  <si>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</si>
  <si>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</si>
  <si>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</si>
  <si>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</si>
  <si>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</si>
  <si>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</si>
  <si>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</si>
  <si>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</si>
  <si>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</si>
  <si>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</si>
  <si>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</si>
  <si>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</si>
  <si>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</si>
  <si>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</si>
  <si>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</si>
  <si>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</si>
  <si>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</si>
  <si>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</si>
  <si>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</si>
  <si>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محمد بالخير</t>
  </si>
  <si>
    <t>على خط الانتاج الي الخزان 1360 .</t>
  </si>
  <si>
    <t xml:space="preserve">  المياة المحلاة من تحلية اليوريا الي تحلية  الخزانات 11/12 مستمرة بمعدل 15م /ساعة</t>
  </si>
  <si>
    <t>يتم ارسال ( 13 طن/ ساعه ) من البخار من مصانع اليوريا الي التحلية الثانية.</t>
  </si>
  <si>
    <t>تحت عمليات تشغيل في انتظار توفير البخار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</si>
</sst>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8" zoomScale="145" zoomScaleNormal="145" zoomScalePageLayoutView="120" workbookViewId="0">
      <selection activeCell="J33" sqref="J33:K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46048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1224</v>
      </c>
      <c r="J9" s="23">
        <v>51</v>
      </c>
      <c r="K9" s="24">
        <v>5.5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13</v>
      </c>
      <c r="F11" s="25">
        <v>11</v>
      </c>
      <c r="G11" s="25">
        <v>0</v>
      </c>
      <c r="H11" s="11">
        <v>8</v>
      </c>
      <c r="I11" s="8">
        <f>J11*(24-M11)</f>
        <v>1632</v>
      </c>
      <c r="J11" s="25">
        <v>68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5400</v>
      </c>
      <c r="C16" s="11">
        <f>C9+C10+C11</f>
        <v>1296</v>
      </c>
      <c r="D16" s="11">
        <f>SUM(D9:D15)</f>
        <v>54</v>
      </c>
      <c r="E16" s="25">
        <v>8.1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4104</v>
      </c>
      <c r="J16" s="11">
        <f>J9+J10+J11+J12+J13+J14+J15</f>
        <v>171</v>
      </c>
      <c r="K16" s="25">
        <v>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5400</v>
      </c>
      <c r="C21" s="25">
        <v>0</v>
      </c>
      <c r="D21" s="25">
        <v>20</v>
      </c>
      <c r="E21" s="25"/>
      <c r="F21" s="25">
        <v>1296</v>
      </c>
      <c r="G21" s="90"/>
      <c r="H21" s="90"/>
      <c r="I21" s="25"/>
      <c r="J21" s="25">
        <v>0</v>
      </c>
      <c r="K21" s="25">
        <v>0</v>
      </c>
      <c r="L21" s="95">
        <v>4084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0.74</v>
      </c>
      <c r="F22" s="56">
        <v>0.56000000000000005</v>
      </c>
      <c r="G22" s="94"/>
      <c r="H22" s="93"/>
      <c r="I22" s="49"/>
      <c r="J22" s="50"/>
      <c r="K22" s="50"/>
      <c r="L22" s="37">
        <v>0.55000000000000004</v>
      </c>
      <c r="M22" s="37">
        <v>0.57999999999999996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27</v>
      </c>
      <c r="L27" s="30">
        <v>16</v>
      </c>
      <c r="M27" s="59">
        <v>21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79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58</v>
      </c>
      <c r="J28" s="91"/>
      <c r="K28" s="31">
        <v>44</v>
      </c>
      <c r="L28" s="31">
        <v>0</v>
      </c>
      <c r="M28" s="62">
        <v>14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6011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3911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0.78</v>
      </c>
      <c r="I33" s="89"/>
      <c r="J33" s="88">
        <v>0.73</v>
      </c>
      <c r="K33" s="89"/>
      <c r="L33" s="88">
        <v>0.96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27500</v>
      </c>
      <c r="C37" s="87"/>
      <c r="D37" s="25">
        <v>100</v>
      </c>
      <c r="E37" s="90">
        <v>7400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78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77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76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2026-01-27T18:39:54Z</dcterms:modified>
  <cp:contentStatus/>
</cp:coreProperties>
</file>