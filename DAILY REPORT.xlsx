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<sst xmlns="http://schemas.openxmlformats.org/spreadsheetml/2006/main" count="102" uniqueCount="83">
  <si>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</si>
  <si>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</si>
  <si>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</si>
  <si>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</si>
  <si>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</si>
  <si>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</si>
  <si>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</si>
  <si>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</si>
  <si>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</si>
  <si>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</si>
  <si>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</si>
  <si>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</si>
  <si>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</si>
  <si>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</si>
  <si>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</si>
  <si>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</si>
  <si>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</si>
  <si>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</si>
  <si>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</si>
  <si>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</si>
  <si>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</si>
  <si>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</si>
  <si>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</si>
  <si>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</si>
  <si>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</si>
  <si>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</si>
  <si>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</si>
  <si>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</si>
  <si>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</si>
  <si>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</si>
  <si>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</si>
  <si>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</si>
  <si>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</si>
  <si>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</si>
  <si>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</si>
  <si>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</si>
  <si>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</si>
  <si>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</si>
  <si>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</si>
  <si>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</si>
  <si>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</si>
  <si>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</si>
  <si>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</si>
  <si>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</si>
  <si>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</si>
  <si>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</si>
  <si>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</si>
  <si>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</si>
  <si>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</si>
  <si>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</si>
  <si>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</si>
  <si>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</si>
  <si>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</si>
  <si>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</si>
  <si>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</si>
  <si>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</si>
  <si>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</si>
  <si>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</si>
  <si>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</si>
  <si>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</si>
  <si>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</si>
  <si>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</si>
  <si>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</si>
  <si>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</si>
  <si>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</si>
  <si>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</si>
  <si>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</si>
  <si>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</si>
  <si>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</si>
  <si>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</si>
  <si>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</si>
  <si>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</si>
  <si>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</si>
  <si>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 </t>
  </si>
  <si>
    <t xml:space="preserve"> كمية البخار المرسلة من مصنع اليوريا إلى محطة التحليه الثانيه مستمرة بمعدل 11 طن / ساعه .</t>
  </si>
  <si>
    <t xml:space="preserve"> المياه المحلاة المرسلة من خزانات تحلية اليوريا الي خزانات 11/12 مستمرة بمعدل 60m³/hr .   </t>
  </si>
  <si>
    <t xml:space="preserve">أحمد قمو </t>
  </si>
  <si>
    <t xml:space="preserve">تم إيقافها عند الساعة 01:15 بسبب أرتفاع الموصلية و مازال تحت أعمال الصيانة </t>
  </si>
  <si>
    <t xml:space="preserve"> على خط الانتاج إلى خزانات 11/12 .</t>
  </si>
  <si>
    <t>على خط الانتاج إلى خزانات 11/12 .</t>
  </si>
  <si>
    <t xml:space="preserve"> على خط الانتاج إلى خزان 1360 .</t>
  </si>
  <si>
    <t xml:space="preserve"> تحت عمليات التشغيل في إنتظار توفر البخار  .</t>
  </si>
  <si>
    <t xml:space="preserve">الوحدة رقم 5 تم الإنتهاء من اعمال الصيانة عند  الساعة 23:50 وتم البدء في عمليات التشغيل ولكن ماتزال في إنتظار توفر البخار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</si>
</sst>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1" zoomScale="130" zoomScaleNormal="130" zoomScalePageLayoutView="120" workbookViewId="0">
      <selection activeCell="B55" sqref="B55:M5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46123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12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4</v>
      </c>
      <c r="F11" s="25">
        <v>11</v>
      </c>
      <c r="G11" s="25">
        <v>0</v>
      </c>
      <c r="H11" s="11">
        <v>8</v>
      </c>
      <c r="I11" s="8">
        <f>J11*(24-M11)</f>
        <v>63</v>
      </c>
      <c r="J11" s="25">
        <v>63</v>
      </c>
      <c r="K11" s="25">
        <v>0</v>
      </c>
      <c r="L11" s="25">
        <v>0</v>
      </c>
      <c r="M11" s="25">
        <v>23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6.5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3975</v>
      </c>
      <c r="C16" s="11">
        <f>C9+C10+C11</f>
        <v>1440</v>
      </c>
      <c r="D16" s="11">
        <f>SUM(D9:D15)</f>
        <v>60</v>
      </c>
      <c r="E16" s="25">
        <v>3.3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2535</v>
      </c>
      <c r="J16" s="11">
        <f>J9+J10+J11+J12+J13+J14+J15</f>
        <v>166</v>
      </c>
      <c r="K16" s="25">
        <v>9.3000000000000007</v>
      </c>
      <c r="L16" s="11">
        <f>SUM(L9:L15)</f>
        <v>40</v>
      </c>
      <c r="M16" s="11">
        <f>SUM(M9:M15)</f>
        <v>119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3975</v>
      </c>
      <c r="C21" s="25">
        <v>0</v>
      </c>
      <c r="D21" s="25">
        <v>20</v>
      </c>
      <c r="E21" s="25">
        <v>0</v>
      </c>
      <c r="F21" s="25">
        <v>1440</v>
      </c>
      <c r="G21" s="90">
        <v>113</v>
      </c>
      <c r="H21" s="90"/>
      <c r="I21" s="25">
        <v>600</v>
      </c>
      <c r="J21" s="25">
        <v>0</v>
      </c>
      <c r="K21" s="25">
        <v>0</v>
      </c>
      <c r="L21" s="95">
        <v>2402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0.89</v>
      </c>
      <c r="F22" s="56">
        <v>0.46</v>
      </c>
      <c r="G22" s="94"/>
      <c r="H22" s="93"/>
      <c r="I22" s="49"/>
      <c r="J22" s="50"/>
      <c r="K22" s="50"/>
      <c r="L22" s="37">
        <v>0.8</v>
      </c>
      <c r="M22" s="37">
        <v>0.8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72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50</v>
      </c>
      <c r="J27" s="91"/>
      <c r="K27" s="30">
        <v>19</v>
      </c>
      <c r="L27" s="30">
        <v>8</v>
      </c>
      <c r="M27" s="59">
        <v>23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65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45</v>
      </c>
      <c r="J28" s="91"/>
      <c r="K28" s="31">
        <v>30</v>
      </c>
      <c r="L28" s="31">
        <v>0</v>
      </c>
      <c r="M28" s="62">
        <v>15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5733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3633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0.93</v>
      </c>
      <c r="G33" s="89"/>
      <c r="H33" s="88">
        <v>0.78</v>
      </c>
      <c r="I33" s="89"/>
      <c r="J33" s="88">
        <v>0.66</v>
      </c>
      <c r="K33" s="89"/>
      <c r="L33" s="88">
        <v>0.93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27200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1260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80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80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78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70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77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79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81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71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72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75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74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82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 t="s">
        <v>73</v>
      </c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76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2026-04-12T00:35:17Z</dcterms:modified>
  <cp:contentStatus/>
</cp:coreProperties>
</file>