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<sst xmlns="http://schemas.openxmlformats.org/spreadsheetml/2006/main" count="101" uniqueCount="81">
  <si>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</si>
  <si>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</si>
  <si>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</si>
  <si>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</si>
  <si>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</si>
  <si>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</si>
  <si>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</si>
  <si>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</si>
  <si>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</si>
  <si>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</si>
  <si>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</si>
  <si>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</si>
  <si>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</si>
  <si>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</si>
  <si>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</si>
  <si>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</si>
  <si>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</si>
  <si>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</si>
  <si>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</si>
  <si>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</si>
  <si>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</si>
  <si>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</si>
  <si>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</si>
  <si>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</si>
  <si>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</si>
  <si>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</si>
  <si>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</si>
  <si>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</si>
  <si>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</si>
  <si>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</si>
  <si>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</si>
  <si>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</si>
  <si>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</si>
  <si>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</si>
  <si>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</si>
  <si>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</si>
  <si>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</si>
  <si>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</si>
  <si>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</si>
  <si>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</si>
  <si>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</si>
  <si>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</si>
  <si>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</si>
  <si>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</si>
  <si>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</si>
  <si>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</si>
  <si>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</si>
  <si>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</si>
  <si>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</si>
  <si>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</si>
  <si>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</si>
  <si>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</si>
  <si>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</si>
  <si>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</si>
  <si>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</si>
  <si>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</si>
  <si>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</si>
  <si>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</si>
  <si>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</si>
  <si>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</si>
  <si>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</si>
  <si>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</si>
  <si>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</si>
  <si>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</si>
  <si>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</si>
  <si>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</si>
  <si>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</si>
  <si>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</si>
  <si>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</si>
  <si>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</si>
  <si>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</si>
  <si>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</si>
  <si>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</si>
  <si>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</si>
  <si>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</si>
  <si>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</si>
  <si>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</si>
  <si>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</si>
  <si>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 xml:space="preserve">المياه المحلاه المرسلة من تحلية اليوريا لا زالت مستمرة بمعدل 65 طن/الساعة . </t>
  </si>
  <si>
    <t>تم تخفيض تدفق المياه المحلاه المرسلة من اليوريا من 90 إلى 65 طن / الساعة عند الساعة 13:30 .</t>
  </si>
  <si>
    <t>متوقفة لغرض الصيانة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</si>
</sst>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28" zoomScale="120" zoomScaleNormal="12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45942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238</v>
      </c>
      <c r="D10" s="25">
        <v>34</v>
      </c>
      <c r="E10" s="25">
        <v>3</v>
      </c>
      <c r="F10" s="25">
        <v>0</v>
      </c>
      <c r="G10" s="25">
        <v>17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80</v>
      </c>
      <c r="D11" s="25">
        <v>20</v>
      </c>
      <c r="E11" s="25">
        <v>2.5</v>
      </c>
      <c r="F11" s="25">
        <v>0</v>
      </c>
      <c r="G11" s="25">
        <v>20</v>
      </c>
      <c r="H11" s="11">
        <v>8</v>
      </c>
      <c r="I11" s="8">
        <f>J11*(24-M11)</f>
        <v>1560</v>
      </c>
      <c r="J11" s="25">
        <v>65</v>
      </c>
      <c r="K11" s="25">
        <v>5.6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4422</v>
      </c>
      <c r="C16" s="11">
        <f>C9+C10+C11</f>
        <v>318</v>
      </c>
      <c r="D16" s="11">
        <f>SUM(D9:D15)</f>
        <v>54</v>
      </c>
      <c r="E16" s="25"/>
      <c r="F16" s="11">
        <f>SUM(F12,F10,F11)</f>
        <v>0</v>
      </c>
      <c r="G16" s="11">
        <f>SUM(G9:G11)</f>
        <v>37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4422</v>
      </c>
      <c r="C21" s="25">
        <v>0</v>
      </c>
      <c r="D21" s="25">
        <v>20</v>
      </c>
      <c r="E21" s="25"/>
      <c r="F21" s="25">
        <v>938</v>
      </c>
      <c r="G21" s="90"/>
      <c r="H21" s="90"/>
      <c r="I21" s="25"/>
      <c r="J21" s="25">
        <v>0</v>
      </c>
      <c r="K21" s="25">
        <v>0</v>
      </c>
      <c r="L21" s="95">
        <v>3464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0.6</v>
      </c>
      <c r="G22" s="94"/>
      <c r="H22" s="93"/>
      <c r="I22" s="49"/>
      <c r="J22" s="50"/>
      <c r="K22" s="50"/>
      <c r="L22" s="37">
        <v>0.95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64</v>
      </c>
      <c r="C27" s="91"/>
      <c r="D27" s="91">
        <f>G27+F27</f>
        <v>0</v>
      </c>
      <c r="E27" s="91"/>
      <c r="F27" s="30">
        <v>0</v>
      </c>
      <c r="G27" s="92">
        <v>0</v>
      </c>
      <c r="H27" s="92"/>
      <c r="I27" s="91">
        <f>K27+L27+M27</f>
        <v>64</v>
      </c>
      <c r="J27" s="91"/>
      <c r="K27" s="30">
        <v>22</v>
      </c>
      <c r="L27" s="30">
        <v>0</v>
      </c>
      <c r="M27" s="59">
        <v>42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57</v>
      </c>
      <c r="C28" s="91"/>
      <c r="D28" s="91">
        <f>F28+G28</f>
        <v>0</v>
      </c>
      <c r="E28" s="91"/>
      <c r="F28" s="31">
        <v>0</v>
      </c>
      <c r="G28" s="92">
        <v>0</v>
      </c>
      <c r="H28" s="92"/>
      <c r="I28" s="91">
        <f>K28+L28+M28</f>
        <v>57</v>
      </c>
      <c r="J28" s="91"/>
      <c r="K28" s="31">
        <v>27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7567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5467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0.83</v>
      </c>
      <c r="I33" s="89"/>
      <c r="J33" s="88">
        <v>0.78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23650</v>
      </c>
      <c r="C37" s="87"/>
      <c r="D37" s="25">
        <v>100</v>
      </c>
      <c r="E37" s="90">
        <v>7200</v>
      </c>
      <c r="F37" s="90"/>
      <c r="G37" s="90">
        <v>10000</v>
      </c>
      <c r="H37" s="90"/>
      <c r="I37" s="25">
        <v>1200</v>
      </c>
      <c r="J37" s="25">
        <v>1150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1435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80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74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77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78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75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0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2025-12-11T03:36:39Z</dcterms:modified>
  <cp:contentStatus/>
</cp:coreProperties>
</file>