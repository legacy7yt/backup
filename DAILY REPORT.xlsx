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<sst xmlns="http://schemas.openxmlformats.org/spreadsheetml/2006/main" count="101" uniqueCount="82">
  <si>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</si>
  <si>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</si>
  <si>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</si>
  <si>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</si>
  <si>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</si>
  <si>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</si>
  <si>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</si>
  <si>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</si>
  <si>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</si>
  <si>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</si>
  <si>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</si>
  <si>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</si>
  <si>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</si>
  <si>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</si>
  <si>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</si>
  <si>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</si>
  <si>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</si>
  <si>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</si>
  <si>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</si>
  <si>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</si>
  <si>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</si>
  <si>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</si>
  <si>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</si>
  <si>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</si>
  <si>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</si>
  <si>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</si>
  <si>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</si>
  <si>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</si>
  <si>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</si>
  <si>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</si>
  <si>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</si>
  <si>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</si>
  <si>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</si>
  <si>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</si>
  <si>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</si>
  <si>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</si>
  <si>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</si>
  <si>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</si>
  <si>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</si>
  <si>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</si>
  <si>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</si>
  <si>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</si>
  <si>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</si>
  <si>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</si>
  <si>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</si>
  <si>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</si>
  <si>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</si>
  <si>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</si>
  <si>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</si>
  <si>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</si>
  <si>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</si>
  <si>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</si>
  <si>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</si>
  <si>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</si>
  <si>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</si>
  <si>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</si>
  <si>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</si>
  <si>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</si>
  <si>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</si>
  <si>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</si>
  <si>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</si>
  <si>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</si>
  <si>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</si>
  <si>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</si>
  <si>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</si>
  <si>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</si>
  <si>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</si>
  <si>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</si>
  <si>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</si>
  <si>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</si>
  <si>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</si>
  <si>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</si>
  <si>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</si>
  <si>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الي خزانات 11/12 .</t>
  </si>
  <si>
    <t>وليد محمد</t>
  </si>
  <si>
    <t xml:space="preserve"> على خط الانتاج الي خزان 1360 .</t>
  </si>
  <si>
    <t>على خط الانتاج الي خزانات 11/12 .</t>
  </si>
  <si>
    <t xml:space="preserve"> تحت عمليات الصيانه .</t>
  </si>
  <si>
    <t xml:space="preserve"> كمية البخار المرسلة من مصنع اليوريا الي التحليه الثانيه مستمرة بمعدل 10 طن / ساعه .</t>
  </si>
  <si>
    <t xml:space="preserve">  تم تشغيلها عند الساعه 12:00 , ولا تزال خارج خط الانتاج  بسبب ارتفاع  الموصلية .</t>
  </si>
  <si>
    <t xml:space="preserve">  </t>
  </si>
  <si>
    <t xml:space="preserve"> المياه المحلاة المرسلة من خزانات تحلية اليوريا الي خزانات 11/12 مستمرة بمعدل 35m³/hr .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</si>
</sst>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25" zoomScale="130" zoomScaleNormal="130" zoomScalePageLayoutView="120" workbookViewId="0">
      <selection activeCell="H39" sqref="H39:J3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46121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10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416</v>
      </c>
      <c r="D11" s="25">
        <v>26</v>
      </c>
      <c r="E11" s="25">
        <v>3.5</v>
      </c>
      <c r="F11" s="25">
        <v>11</v>
      </c>
      <c r="G11" s="25">
        <v>8</v>
      </c>
      <c r="H11" s="11">
        <v>8</v>
      </c>
      <c r="I11" s="8">
        <f>J11*(24-M11)</f>
        <v>1560</v>
      </c>
      <c r="J11" s="25">
        <v>65</v>
      </c>
      <c r="K11" s="25">
        <v>5.2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7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5264</v>
      </c>
      <c r="C16" s="11">
        <f>C9+C10+C11</f>
        <v>1232</v>
      </c>
      <c r="D16" s="11">
        <f>SUM(D9:D15)</f>
        <v>60</v>
      </c>
      <c r="E16" s="25">
        <v>3.3</v>
      </c>
      <c r="F16" s="11">
        <f>SUM(F12,F10,F11)</f>
        <v>22</v>
      </c>
      <c r="G16" s="11">
        <f>SUM(G9:G11)</f>
        <v>8</v>
      </c>
      <c r="H16" s="13" t="s">
        <v>14</v>
      </c>
      <c r="I16" s="11">
        <f>I9+I10+I11+I12+I13+I14+I15</f>
        <v>4032</v>
      </c>
      <c r="J16" s="11">
        <f>J9+J10+J11+J12+J13+J14+J15</f>
        <v>168</v>
      </c>
      <c r="K16" s="25">
        <v>7.4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5264</v>
      </c>
      <c r="C21" s="25">
        <v>0</v>
      </c>
      <c r="D21" s="25">
        <v>40</v>
      </c>
      <c r="E21" s="25">
        <v>0</v>
      </c>
      <c r="F21" s="25">
        <v>1232</v>
      </c>
      <c r="G21" s="78">
        <v>0</v>
      </c>
      <c r="H21" s="78"/>
      <c r="I21" s="25">
        <v>0</v>
      </c>
      <c r="J21" s="25">
        <v>0</v>
      </c>
      <c r="K21" s="25">
        <v>0</v>
      </c>
      <c r="L21" s="91">
        <v>3992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0.31</v>
      </c>
      <c r="G22" s="89"/>
      <c r="H22" s="90"/>
      <c r="I22" s="49"/>
      <c r="J22" s="50"/>
      <c r="K22" s="50"/>
      <c r="L22" s="37">
        <v>0.92</v>
      </c>
      <c r="M22" s="37">
        <v>0.92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25</v>
      </c>
      <c r="L27" s="30">
        <v>13</v>
      </c>
      <c r="M27" s="59">
        <v>32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65</v>
      </c>
      <c r="J28" s="94"/>
      <c r="K28" s="31">
        <v>49</v>
      </c>
      <c r="L28" s="31">
        <v>0</v>
      </c>
      <c r="M28" s="62">
        <v>16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6009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3909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0.9</v>
      </c>
      <c r="G33" s="98"/>
      <c r="H33" s="97">
        <v>0.92</v>
      </c>
      <c r="I33" s="98"/>
      <c r="J33" s="97">
        <v>0.72</v>
      </c>
      <c r="K33" s="98"/>
      <c r="L33" s="97">
        <v>0.9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27200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680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75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79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73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76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77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81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78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80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2026-04-09T23:44:50Z</dcterms:modified>
  <cp:contentStatus/>
</cp:coreProperties>
</file>