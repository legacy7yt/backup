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<sst xmlns="http://schemas.openxmlformats.org/spreadsheetml/2006/main" count="102" uniqueCount="83">
  <si>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</si>
  <si>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</si>
  <si>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</si>
  <si>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</si>
  <si>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</si>
  <si>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</si>
  <si>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</si>
  <si>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</si>
  <si>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</si>
  <si>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</si>
  <si>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</si>
  <si>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</si>
  <si>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</si>
  <si>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</si>
  <si>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</si>
  <si>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</si>
  <si>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</si>
  <si>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</si>
  <si>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</si>
  <si>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</si>
  <si>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</si>
  <si>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</si>
  <si>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</si>
  <si>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</si>
  <si>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</si>
  <si>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</si>
  <si>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</si>
  <si>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</si>
  <si>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</si>
  <si>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</si>
  <si>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</si>
  <si>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</si>
  <si>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</si>
  <si>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</si>
  <si>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</si>
  <si>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</si>
  <si>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</si>
  <si>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</si>
  <si>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</si>
  <si>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</si>
  <si>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</si>
  <si>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</si>
  <si>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</si>
  <si>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</si>
  <si>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</si>
  <si>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</si>
  <si>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</si>
  <si>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</si>
  <si>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</si>
  <si>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</si>
  <si>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</si>
  <si>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</si>
  <si>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</si>
  <si>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</si>
  <si>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</si>
  <si>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</si>
  <si>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</si>
  <si>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</si>
  <si>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</si>
  <si>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</si>
  <si>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</si>
  <si>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</si>
  <si>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</si>
  <si>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</si>
  <si>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</si>
  <si>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</si>
  <si>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</si>
  <si>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</si>
  <si>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</si>
  <si>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</si>
  <si>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</si>
  <si>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</si>
  <si>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</si>
  <si>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</si>
  <si>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</si>
  <si>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</si>
  <si>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</si>
  <si>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 xml:space="preserve">المياه المحلاه المرسلة من تحلية اليوريا مستمرة بمعدل 45 طن/الساعة . </t>
  </si>
  <si>
    <t>تم إيقافها عند الساعة 08:00 تشغيلها مرة أُخرى عند الساعة 17:40 ولا تزال خارج خط الإنتاج .</t>
  </si>
  <si>
    <t>تم تشغيلها عند الساعة 20:30 ولا تزال تحت عملية تدويرالمياه .</t>
  </si>
  <si>
    <t>الوحدة رقم 8 تم تشغيلها عند الساعة 20:30 ولا تزال تحت عملية تدويرالمياه .</t>
  </si>
  <si>
    <t>13/12/2025</t>
  </si>
  <si>
    <t xml:space="preserve"> المياه المحلاه المرسلة من خزان 11/12 إلى خزان 1360 مستمرة بمعدل 60 طن/الساعة 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</si>
</sst>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22" zoomScale="120" zoomScaleNormal="12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81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14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40</v>
      </c>
      <c r="D11" s="25">
        <v>20</v>
      </c>
      <c r="E11" s="25">
        <v>20</v>
      </c>
      <c r="F11" s="25">
        <v>11</v>
      </c>
      <c r="G11" s="25">
        <v>22</v>
      </c>
      <c r="H11" s="11">
        <v>8</v>
      </c>
      <c r="I11" s="8">
        <f>J11*(24-M11)</f>
        <v>1560</v>
      </c>
      <c r="J11" s="25">
        <v>65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4120</v>
      </c>
      <c r="C16" s="11">
        <f>C9+C10+C11</f>
        <v>40</v>
      </c>
      <c r="D16" s="11">
        <f>SUM(D9:D15)</f>
        <v>20</v>
      </c>
      <c r="E16" s="25">
        <v>17</v>
      </c>
      <c r="F16" s="11">
        <f>SUM(F12,F10,F11)</f>
        <v>22</v>
      </c>
      <c r="G16" s="11">
        <f>SUM(G9:G11)</f>
        <v>46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5.3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4080</v>
      </c>
      <c r="C21" s="25">
        <v>0</v>
      </c>
      <c r="D21" s="25">
        <v>20</v>
      </c>
      <c r="E21" s="25"/>
      <c r="F21" s="25">
        <v>1440</v>
      </c>
      <c r="G21" s="78"/>
      <c r="H21" s="78"/>
      <c r="I21" s="25"/>
      <c r="J21" s="25">
        <v>0</v>
      </c>
      <c r="K21" s="25">
        <v>0</v>
      </c>
      <c r="L21" s="92">
        <v>2620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0.13</v>
      </c>
      <c r="G22" s="90"/>
      <c r="H22" s="91"/>
      <c r="I22" s="49"/>
      <c r="J22" s="50"/>
      <c r="K22" s="50"/>
      <c r="L22" s="37">
        <v>0.85</v>
      </c>
      <c r="M22" s="37">
        <v>0.84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4</v>
      </c>
      <c r="L27" s="30">
        <v>11</v>
      </c>
      <c r="M27" s="59">
        <v>49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59</v>
      </c>
      <c r="J28" s="95"/>
      <c r="K28" s="31">
        <v>59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7922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5822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0.76</v>
      </c>
      <c r="I33" s="99"/>
      <c r="J33" s="98">
        <v>0.77</v>
      </c>
      <c r="K33" s="99"/>
      <c r="L33" s="98">
        <v>0.95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27300</v>
      </c>
      <c r="C37" s="77"/>
      <c r="D37" s="25">
        <v>100</v>
      </c>
      <c r="E37" s="78">
        <v>7200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1050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73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77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82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 t="s">
        <v>80</v>
      </c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2025-12-13T23:48:36Z</dcterms:modified>
  <cp:contentStatus/>
</cp:coreProperties>
</file>