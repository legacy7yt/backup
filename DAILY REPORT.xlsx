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<sst xmlns="http://schemas.openxmlformats.org/spreadsheetml/2006/main" count="102" uniqueCount="83">
  <si>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</si>
  <si>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</si>
  <si>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</si>
  <si>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</si>
  <si>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</si>
  <si>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</si>
  <si>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</si>
  <si>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</si>
  <si>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</si>
  <si>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</si>
  <si>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</si>
  <si>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</si>
  <si>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</si>
  <si>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</si>
  <si>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</si>
  <si>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</si>
  <si>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</si>
  <si>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</si>
  <si>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</si>
  <si>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</si>
  <si>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</si>
  <si>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</si>
  <si>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</si>
  <si>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</si>
  <si>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</si>
  <si>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</si>
  <si>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</si>
  <si>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</si>
  <si>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</si>
  <si>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</si>
  <si>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</si>
  <si>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</si>
  <si>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</si>
  <si>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</si>
  <si>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</si>
  <si>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</si>
  <si>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</si>
  <si>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</si>
  <si>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</si>
  <si>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</si>
  <si>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</si>
  <si>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</si>
  <si>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</si>
  <si>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</si>
  <si>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</si>
  <si>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</si>
  <si>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</si>
  <si>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</si>
  <si>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</si>
  <si>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</si>
  <si>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</si>
  <si>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</si>
  <si>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</si>
  <si>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</si>
  <si>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</si>
  <si>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</si>
  <si>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</si>
  <si>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</si>
  <si>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</si>
  <si>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</si>
  <si>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</si>
  <si>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</si>
  <si>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</si>
  <si>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</si>
  <si>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</si>
  <si>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</si>
  <si>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</si>
  <si>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</si>
  <si>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</si>
  <si>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</si>
  <si>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</si>
  <si>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الإنتاج إلى خزان 1360.</t>
  </si>
  <si>
    <t>احمد قمو</t>
  </si>
  <si>
    <t xml:space="preserve"> على خط  الإنتاج إلى خزان 1360.</t>
  </si>
  <si>
    <t>على خط الانتاج الي خزانات   11/12 .</t>
  </si>
  <si>
    <t xml:space="preserve">علي خط الانتاج الي خزانات  11/12. </t>
  </si>
  <si>
    <t>تحت إجراءات التخريد .</t>
  </si>
  <si>
    <t xml:space="preserve">المضخة الكهربائية 1105 مع قسم صيانة الآلات الدوارة (MMR) لإجراء الصيانه الشامله حسب توصيات ( M&amp;I + MAG ) </t>
  </si>
  <si>
    <t>على خط الانتاج الي خزانات  11/12 .</t>
  </si>
  <si>
    <t xml:space="preserve"> المياه المحلاه المرسله من تحلية اليوريا إلى خزانات 11/12  مستمره بمعدل 30 متر مكعب/ ساعة  .</t>
  </si>
  <si>
    <t xml:space="preserve">كمية البخار المستلمة من مصنع اليويا الثاني مستمرة بمعدل 12 طن / ساعة . </t>
  </si>
  <si>
    <t xml:space="preserve"> تم تشغيلها عند الساعه 12:00 و دخلت على خط الأنتاج الي خزانات 11/ 12 عند الساعه 20:30 .</t>
  </si>
  <si>
    <t>الوحدة رقم 4 : تم تشغيلها عند الساعه 12:00 و دخلت على خط الانتاج الي خزانات 11/ 12 عند الساعه 20:30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</si>
</sst>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6" sqref="B56:M5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46097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1536</v>
      </c>
      <c r="J11" s="25">
        <v>64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520</v>
      </c>
      <c r="J12" s="25">
        <v>52</v>
      </c>
      <c r="K12" s="25">
        <v>12</v>
      </c>
      <c r="L12" s="25">
        <v>20</v>
      </c>
      <c r="M12" s="25">
        <v>14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6016</v>
      </c>
      <c r="C16" s="11">
        <f>C9+C10+C11</f>
        <v>1440</v>
      </c>
      <c r="D16" s="11">
        <f>SUM(D9:D15)</f>
        <v>60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4576</v>
      </c>
      <c r="J16" s="11">
        <f>J9+J10+J11+J12+J13+J14+J15</f>
        <v>221</v>
      </c>
      <c r="K16" s="25">
        <v>10.1</v>
      </c>
      <c r="L16" s="11">
        <f>SUM(L9:L15)</f>
        <v>80</v>
      </c>
      <c r="M16" s="11">
        <f>SUM(M9:M15)</f>
        <v>86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6016</v>
      </c>
      <c r="C21" s="25">
        <v>0</v>
      </c>
      <c r="D21" s="25">
        <v>20</v>
      </c>
      <c r="E21" s="25">
        <v>0</v>
      </c>
      <c r="F21" s="25">
        <v>1440</v>
      </c>
      <c r="G21" s="78">
        <v>312</v>
      </c>
      <c r="H21" s="78"/>
      <c r="I21" s="25">
        <v>0</v>
      </c>
      <c r="J21" s="25">
        <v>0</v>
      </c>
      <c r="K21" s="25">
        <v>0</v>
      </c>
      <c r="L21" s="91">
        <v>4244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0.84</v>
      </c>
      <c r="F22" s="56">
        <v>0.87</v>
      </c>
      <c r="G22" s="89"/>
      <c r="H22" s="90"/>
      <c r="I22" s="49"/>
      <c r="J22" s="50"/>
      <c r="K22" s="50"/>
      <c r="L22" s="37">
        <v>0.91</v>
      </c>
      <c r="M22" s="37">
        <v>0.92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51</v>
      </c>
      <c r="L27" s="30">
        <v>12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106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85</v>
      </c>
      <c r="J28" s="94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7649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5549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0.85</v>
      </c>
      <c r="G33" s="98"/>
      <c r="H33" s="97">
        <v>0.76</v>
      </c>
      <c r="I33" s="98"/>
      <c r="J33" s="97">
        <v>0.81</v>
      </c>
      <c r="K33" s="98"/>
      <c r="L33" s="97">
        <v>0.99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880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71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74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78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75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76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76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79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80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82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2026-03-16T23:52:20Z</dcterms:modified>
  <cp:contentStatus/>
</cp:coreProperties>
</file>