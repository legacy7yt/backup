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<sst xmlns="http://schemas.openxmlformats.org/spreadsheetml/2006/main" count="102" uniqueCount="82">
  <si>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</si>
  <si>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</si>
  <si>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</si>
  <si>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</si>
  <si>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</si>
  <si>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</si>
  <si>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</si>
  <si>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</si>
  <si>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</si>
  <si>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</si>
  <si>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</si>
  <si>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</si>
  <si>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</si>
  <si>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</si>
  <si>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</si>
  <si>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</si>
  <si>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</si>
  <si>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</si>
  <si>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</si>
  <si>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</si>
  <si>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</si>
  <si>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</si>
  <si>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</si>
  <si>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</si>
  <si>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</si>
  <si>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</si>
  <si>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</si>
  <si>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</si>
  <si>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</si>
  <si>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</si>
  <si>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</si>
  <si>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</si>
  <si>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</si>
  <si>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</si>
  <si>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</si>
  <si>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</si>
  <si>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</si>
  <si>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</si>
  <si>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</si>
  <si>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</si>
  <si>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</si>
  <si>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</si>
  <si>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</si>
  <si>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</si>
  <si>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</si>
  <si>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</si>
  <si>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</si>
  <si>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</si>
  <si>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</si>
  <si>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</si>
  <si>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</si>
  <si>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</si>
  <si>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</si>
  <si>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</si>
  <si>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</si>
  <si>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</si>
  <si>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</si>
  <si>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</si>
  <si>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</si>
  <si>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</si>
  <si>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</si>
  <si>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</si>
  <si>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</si>
  <si>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</si>
  <si>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</si>
  <si>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</si>
  <si>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</si>
  <si>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</si>
  <si>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</si>
  <si>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تحت إجراءات التخريد.</t>
  </si>
  <si>
    <t>%</t>
  </si>
  <si>
    <t>.في انتظار وصول باقي المواد لتنفيذ اعمال العمرة السنوية</t>
  </si>
  <si>
    <t xml:space="preserve"> وليد محمد</t>
  </si>
  <si>
    <t xml:space="preserve"> على خط الانتاج الى خزان (1360-TK ) .</t>
  </si>
  <si>
    <t xml:space="preserve"> علي خط الانتاج الي خزان (TK-1360) .</t>
  </si>
  <si>
    <t>علي خط الانتاج الي خزانات ( TK-11/12).</t>
  </si>
  <si>
    <t>صمام عزل مياه البحر 6Ø  المغذى لخط منظومة الاطفاء الرئيسى 20Ø  مغلق  , بسبب الاعمال الجاريه لقسم صيانة الاطفاء , لأصلاح التسرب فى الخط  بالقرب من محطة الكهرباء 2 .</t>
  </si>
  <si>
    <t xml:space="preserve"> كمية مياه البحر المرسلة الي الشركة الليبيه للإسمدة ( لايفيكو ) 23200m³/Hr .</t>
  </si>
  <si>
    <t xml:space="preserve">علي خط الانتاج الي خزانات ( TK-11/12). </t>
  </si>
  <si>
    <t xml:space="preserve"> توقف ارسال البخار من مصنع اليوريا عند الساعه 17:40pm . </t>
  </si>
  <si>
    <t xml:space="preserve"> المياه المحلاه المرسله من تحلية اليوريا إلى ( 11/12- TK)  مستمره بمعدل 70m³/Hr .</t>
  </si>
  <si>
    <t>تم ايقاف الوحدة ( steam-out ) عند الساعه 17:20pm , لغرض إجراء أعمال الصيانه 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</si>
</sst>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0" fontId="7" fillId="0" borderId="17" xfId="0" applyFont="1" applyBorder="1" applyAlignment="1" applyProtection="1">
      <alignment horizontal="right" vertical="center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3" borderId="6" xfId="0" applyFont="1" applyFill="1" applyBorder="1" applyAlignment="1" applyProtection="1">
      <alignment horizontal="center" vertical="center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31" zoomScale="130" zoomScaleNormal="130" zoomScalePageLayoutView="120" workbookViewId="0">
      <selection activeCell="B45" sqref="B45:M45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98">
        <f ca="1">TODAY()-1</f>
        <v>46076</v>
      </c>
      <c r="C5" s="98"/>
      <c r="D5" s="35" t="s">
        <v>4</v>
      </c>
      <c r="G5" s="99" t="s">
        <v>5</v>
      </c>
      <c r="H5" s="99"/>
      <c r="I5" s="99"/>
      <c r="L5" s="100">
        <v>0</v>
      </c>
      <c r="M5" s="100"/>
      <c r="N5" s="19" t="s">
        <v>6</v>
      </c>
      <c r="O5" s="7"/>
    </row>
    <row r="6" spans="1:16" ht="18" customHeight="1">
      <c r="A6" s="5"/>
      <c r="B6" s="86" t="s">
        <v>7</v>
      </c>
      <c r="C6" s="86"/>
      <c r="D6" s="86"/>
      <c r="E6" s="86"/>
      <c r="F6" s="86"/>
      <c r="G6" s="86"/>
      <c r="H6" s="86"/>
      <c r="I6" s="86"/>
      <c r="J6" s="86"/>
      <c r="K6" s="86"/>
      <c r="L6" s="86"/>
      <c r="M6" s="86"/>
      <c r="N6" s="86"/>
      <c r="O6" s="7"/>
    </row>
    <row r="7" spans="1:16" ht="18.75" customHeight="1">
      <c r="A7" s="5"/>
      <c r="B7" s="87" t="s">
        <v>52</v>
      </c>
      <c r="C7" s="87" t="s">
        <v>8</v>
      </c>
      <c r="D7" s="87"/>
      <c r="E7" s="87"/>
      <c r="F7" s="87"/>
      <c r="G7" s="87"/>
      <c r="H7" s="87"/>
      <c r="I7" s="87" t="s">
        <v>9</v>
      </c>
      <c r="J7" s="87"/>
      <c r="K7" s="87"/>
      <c r="L7" s="87"/>
      <c r="M7" s="87"/>
      <c r="N7" s="87"/>
      <c r="O7" s="7"/>
    </row>
    <row r="8" spans="1:16" ht="29.25" customHeight="1">
      <c r="A8" s="5"/>
      <c r="B8" s="8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1200</v>
      </c>
      <c r="J9" s="23">
        <v>50</v>
      </c>
      <c r="K9" s="24">
        <v>5.5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2.2000000000000002</v>
      </c>
      <c r="F10" s="25">
        <v>11</v>
      </c>
      <c r="G10" s="25">
        <v>0</v>
      </c>
      <c r="H10" s="11">
        <v>7</v>
      </c>
      <c r="I10" s="8">
        <v>0</v>
      </c>
      <c r="J10" s="23">
        <v>0</v>
      </c>
      <c r="K10" s="25"/>
      <c r="L10" s="25">
        <v>0</v>
      </c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624</v>
      </c>
      <c r="D11" s="25">
        <v>26</v>
      </c>
      <c r="E11" s="25">
        <v>1.3</v>
      </c>
      <c r="F11" s="25">
        <v>11</v>
      </c>
      <c r="G11" s="25">
        <v>0</v>
      </c>
      <c r="H11" s="11">
        <v>8</v>
      </c>
      <c r="I11" s="8">
        <f>J11*(24-M11)</f>
        <v>1560</v>
      </c>
      <c r="J11" s="25">
        <v>65</v>
      </c>
      <c r="K11" s="25">
        <v>4.5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1272</v>
      </c>
      <c r="J12" s="25">
        <v>53</v>
      </c>
      <c r="K12" s="25">
        <v>4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1248</v>
      </c>
      <c r="J13" s="25">
        <v>52</v>
      </c>
      <c r="K13" s="25">
        <v>17</v>
      </c>
      <c r="L13" s="25">
        <v>20</v>
      </c>
      <c r="M13" s="25">
        <v>0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6720</v>
      </c>
      <c r="C16" s="11">
        <f>C9+C10+C11</f>
        <v>1440</v>
      </c>
      <c r="D16" s="11">
        <f>SUM(D9:D15)</f>
        <v>60</v>
      </c>
      <c r="E16" s="25">
        <v>1.7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5280</v>
      </c>
      <c r="J16" s="11">
        <f>J9+J10+J11+J12+J13+J14+J15</f>
        <v>220</v>
      </c>
      <c r="K16" s="25">
        <v>7.7</v>
      </c>
      <c r="L16" s="11">
        <f>SUM(L9:L15)</f>
        <v>80</v>
      </c>
      <c r="M16" s="11">
        <f>SUM(M9:M15)</f>
        <v>72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6" t="s">
        <v>47</v>
      </c>
      <c r="C18" s="86"/>
      <c r="D18" s="86"/>
      <c r="E18" s="86"/>
      <c r="F18" s="86"/>
      <c r="G18" s="86"/>
      <c r="H18" s="86"/>
      <c r="I18" s="86"/>
      <c r="J18" s="86"/>
      <c r="K18" s="86"/>
      <c r="L18" s="86"/>
      <c r="M18" s="86"/>
      <c r="N18" s="86"/>
      <c r="O18" s="7"/>
    </row>
    <row r="19" spans="1:19" ht="15" customHeight="1">
      <c r="A19" s="5"/>
      <c r="B19" s="32"/>
      <c r="C19" s="87" t="s">
        <v>15</v>
      </c>
      <c r="D19" s="87" t="s">
        <v>16</v>
      </c>
      <c r="E19" s="34" t="s">
        <v>17</v>
      </c>
      <c r="F19" s="34" t="s">
        <v>17</v>
      </c>
      <c r="G19" s="97" t="s">
        <v>18</v>
      </c>
      <c r="H19" s="97"/>
      <c r="I19" s="87" t="s">
        <v>19</v>
      </c>
      <c r="J19" s="97" t="s">
        <v>20</v>
      </c>
      <c r="K19" s="97"/>
      <c r="L19" s="97" t="s">
        <v>21</v>
      </c>
      <c r="M19" s="97"/>
      <c r="N19" s="34"/>
      <c r="O19" s="7"/>
    </row>
    <row r="20" spans="1:19">
      <c r="A20" s="5"/>
      <c r="B20" s="32"/>
      <c r="C20" s="87"/>
      <c r="D20" s="87"/>
      <c r="E20" s="11">
        <v>200</v>
      </c>
      <c r="F20" s="11">
        <v>1360</v>
      </c>
      <c r="G20" s="33">
        <v>2</v>
      </c>
      <c r="H20" s="33">
        <v>1</v>
      </c>
      <c r="I20" s="8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6720</v>
      </c>
      <c r="C21" s="25">
        <v>0</v>
      </c>
      <c r="D21" s="25">
        <v>20</v>
      </c>
      <c r="E21" s="25"/>
      <c r="F21" s="25">
        <v>1440</v>
      </c>
      <c r="G21" s="90">
        <v>0</v>
      </c>
      <c r="H21" s="90"/>
      <c r="I21" s="25"/>
      <c r="J21" s="25">
        <v>0</v>
      </c>
      <c r="K21" s="25">
        <v>0</v>
      </c>
      <c r="L21" s="95">
        <v>5260</v>
      </c>
      <c r="M21" s="96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0.86</v>
      </c>
      <c r="F22" s="56">
        <v>0.66</v>
      </c>
      <c r="G22" s="94"/>
      <c r="H22" s="93"/>
      <c r="I22" s="49"/>
      <c r="J22" s="50"/>
      <c r="K22" s="50"/>
      <c r="L22" s="37">
        <v>0.7</v>
      </c>
      <c r="M22" s="37">
        <v>0.71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6" t="s">
        <v>48</v>
      </c>
      <c r="C24" s="86"/>
      <c r="D24" s="86"/>
      <c r="E24" s="86"/>
      <c r="F24" s="86"/>
      <c r="G24" s="86"/>
      <c r="H24" s="86"/>
      <c r="I24" s="86"/>
      <c r="J24" s="86"/>
      <c r="K24" s="86"/>
      <c r="L24" s="86"/>
      <c r="M24" s="86"/>
      <c r="N24" s="86"/>
      <c r="O24" s="7"/>
    </row>
    <row r="25" spans="1:19" ht="18" customHeight="1">
      <c r="A25" s="5"/>
      <c r="B25" s="87" t="s">
        <v>52</v>
      </c>
      <c r="C25" s="87"/>
      <c r="D25" s="93" t="s">
        <v>23</v>
      </c>
      <c r="E25" s="93"/>
      <c r="F25" s="93"/>
      <c r="G25" s="93"/>
      <c r="H25" s="93"/>
      <c r="I25" s="93" t="s">
        <v>24</v>
      </c>
      <c r="J25" s="93"/>
      <c r="K25" s="93"/>
      <c r="L25" s="93"/>
      <c r="M25" s="93"/>
      <c r="N25" s="93"/>
      <c r="O25" s="7"/>
    </row>
    <row r="26" spans="1:19" ht="18.75" customHeight="1">
      <c r="A26" s="5"/>
      <c r="B26" s="87"/>
      <c r="C26" s="87"/>
      <c r="D26" s="87" t="s">
        <v>14</v>
      </c>
      <c r="E26" s="87"/>
      <c r="F26" s="11" t="s">
        <v>21</v>
      </c>
      <c r="G26" s="87" t="s">
        <v>25</v>
      </c>
      <c r="H26" s="87"/>
      <c r="I26" s="87" t="s">
        <v>14</v>
      </c>
      <c r="J26" s="8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1">
        <f>I27+D27</f>
        <v>106</v>
      </c>
      <c r="C27" s="91"/>
      <c r="D27" s="91">
        <f>G27+F27</f>
        <v>22</v>
      </c>
      <c r="E27" s="91"/>
      <c r="F27" s="30">
        <v>0</v>
      </c>
      <c r="G27" s="92">
        <v>22</v>
      </c>
      <c r="H27" s="92"/>
      <c r="I27" s="91">
        <f>K27+L27+M27</f>
        <v>84</v>
      </c>
      <c r="J27" s="91"/>
      <c r="K27" s="30">
        <v>45</v>
      </c>
      <c r="L27" s="30">
        <v>12</v>
      </c>
      <c r="M27" s="59">
        <v>27</v>
      </c>
      <c r="N27" s="15" t="s">
        <v>11</v>
      </c>
      <c r="O27" s="7"/>
      <c r="S27" s="19"/>
    </row>
    <row r="28" spans="1:19" ht="15.95" customHeight="1">
      <c r="A28" s="5"/>
      <c r="B28" s="91">
        <f>I28+D28</f>
        <v>101</v>
      </c>
      <c r="C28" s="91"/>
      <c r="D28" s="91">
        <f>F28+G28</f>
        <v>21</v>
      </c>
      <c r="E28" s="91"/>
      <c r="F28" s="31">
        <v>0</v>
      </c>
      <c r="G28" s="92">
        <v>21</v>
      </c>
      <c r="H28" s="92"/>
      <c r="I28" s="91">
        <f>K28+L28+M28</f>
        <v>80</v>
      </c>
      <c r="J28" s="91"/>
      <c r="K28" s="31">
        <v>51</v>
      </c>
      <c r="L28" s="31">
        <v>0</v>
      </c>
      <c r="M28" s="62">
        <v>29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6" t="s">
        <v>50</v>
      </c>
      <c r="C30" s="86"/>
      <c r="D30" s="86"/>
      <c r="E30" s="86"/>
      <c r="F30" s="86"/>
      <c r="G30" s="86"/>
      <c r="H30" s="86"/>
      <c r="I30" s="86"/>
      <c r="J30" s="86"/>
      <c r="K30" s="86"/>
      <c r="L30" s="86"/>
      <c r="M30" s="86"/>
      <c r="N30" s="86"/>
      <c r="O30" s="7"/>
    </row>
    <row r="31" spans="1:19" ht="25.5" customHeight="1">
      <c r="A31" s="5"/>
      <c r="B31" s="87" t="s">
        <v>14</v>
      </c>
      <c r="C31" s="87"/>
      <c r="D31" s="87" t="s">
        <v>16</v>
      </c>
      <c r="E31" s="87"/>
      <c r="F31" s="87" t="s">
        <v>27</v>
      </c>
      <c r="G31" s="87"/>
      <c r="H31" s="87" t="s">
        <v>28</v>
      </c>
      <c r="I31" s="87"/>
      <c r="J31" s="87" t="s">
        <v>29</v>
      </c>
      <c r="K31" s="87"/>
      <c r="L31" s="87" t="s">
        <v>30</v>
      </c>
      <c r="M31" s="87"/>
      <c r="O31" s="7"/>
    </row>
    <row r="32" spans="1:19" ht="15.95" customHeight="1">
      <c r="A32" s="5"/>
      <c r="B32" s="91">
        <f>L32+J32</f>
        <v>5985</v>
      </c>
      <c r="C32" s="91"/>
      <c r="D32" s="90"/>
      <c r="E32" s="90"/>
      <c r="F32" s="90">
        <v>0</v>
      </c>
      <c r="G32" s="90"/>
      <c r="H32" s="90">
        <v>0</v>
      </c>
      <c r="I32" s="90"/>
      <c r="J32" s="90">
        <v>2100</v>
      </c>
      <c r="K32" s="90"/>
      <c r="L32" s="90">
        <v>3885</v>
      </c>
      <c r="M32" s="90"/>
      <c r="N32" s="11" t="s">
        <v>49</v>
      </c>
      <c r="O32" s="7"/>
    </row>
    <row r="33" spans="1:33" ht="17.100000000000001" customHeight="1">
      <c r="A33" s="5"/>
      <c r="B33" s="85"/>
      <c r="C33" s="85"/>
      <c r="D33" s="51"/>
      <c r="E33" s="52" t="s">
        <v>70</v>
      </c>
      <c r="F33" s="88">
        <v>0.87</v>
      </c>
      <c r="G33" s="89"/>
      <c r="H33" s="88">
        <v>0.91</v>
      </c>
      <c r="I33" s="89"/>
      <c r="J33" s="88">
        <v>0.64</v>
      </c>
      <c r="K33" s="89"/>
      <c r="L33" s="88">
        <v>0.84</v>
      </c>
      <c r="M33" s="89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6" t="s">
        <v>57</v>
      </c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7"/>
    </row>
    <row r="36" spans="1:33" ht="30.75" customHeight="1">
      <c r="A36" s="5"/>
      <c r="B36" s="87" t="s">
        <v>14</v>
      </c>
      <c r="C36" s="87"/>
      <c r="D36" s="57" t="s">
        <v>55</v>
      </c>
      <c r="E36" s="87" t="s">
        <v>54</v>
      </c>
      <c r="F36" s="87"/>
      <c r="G36" s="87" t="s">
        <v>53</v>
      </c>
      <c r="H36" s="8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101"/>
      <c r="W36" s="101"/>
      <c r="X36" s="101"/>
      <c r="Y36" s="101"/>
      <c r="Z36" s="101"/>
      <c r="AA36" s="101"/>
      <c r="AB36" s="101"/>
      <c r="AC36" s="101"/>
      <c r="AD36" s="101"/>
      <c r="AE36" s="101"/>
      <c r="AF36" s="101"/>
      <c r="AG36" s="101"/>
    </row>
    <row r="37" spans="1:33" ht="15.95" customHeight="1">
      <c r="A37" s="5"/>
      <c r="B37" s="87">
        <f>SUM(D37:N37)</f>
        <v>28000</v>
      </c>
      <c r="C37" s="87"/>
      <c r="D37" s="25">
        <v>100</v>
      </c>
      <c r="E37" s="90">
        <v>7000</v>
      </c>
      <c r="F37" s="90"/>
      <c r="G37" s="90">
        <v>10000</v>
      </c>
      <c r="H37" s="90"/>
      <c r="I37" s="25">
        <v>5000</v>
      </c>
      <c r="J37" s="25">
        <v>1100</v>
      </c>
      <c r="K37" s="25">
        <v>0</v>
      </c>
      <c r="L37" s="25">
        <v>100</v>
      </c>
      <c r="M37" s="25">
        <v>1500</v>
      </c>
      <c r="N37" s="25">
        <v>3200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105" t="s">
        <v>51</v>
      </c>
      <c r="G39" s="106"/>
      <c r="H39" s="90">
        <v>1560</v>
      </c>
      <c r="I39" s="90"/>
      <c r="J39" s="90"/>
      <c r="K39" s="87" t="s">
        <v>37</v>
      </c>
      <c r="L39" s="87"/>
      <c r="M39" s="87"/>
      <c r="N39" s="87"/>
      <c r="O39" s="7"/>
      <c r="Z39" s="46"/>
    </row>
    <row r="40" spans="1:33" ht="24" customHeight="1">
      <c r="A40" s="5"/>
      <c r="B40" s="104" t="s">
        <v>58</v>
      </c>
      <c r="C40" s="104"/>
      <c r="D40" s="104"/>
      <c r="E40" s="104"/>
      <c r="F40" s="104"/>
      <c r="G40" s="104"/>
      <c r="H40" s="104"/>
      <c r="I40" s="104"/>
      <c r="J40" s="104"/>
      <c r="K40" s="104"/>
      <c r="L40" s="104"/>
      <c r="M40" s="60"/>
      <c r="N40" s="19" t="s">
        <v>38</v>
      </c>
      <c r="O40" s="7"/>
    </row>
    <row r="41" spans="1:33" ht="15" customHeight="1">
      <c r="A41" s="5"/>
      <c r="B41" s="75" t="s">
        <v>73</v>
      </c>
      <c r="C41" s="75"/>
      <c r="D41" s="75"/>
      <c r="E41" s="75"/>
      <c r="F41" s="75"/>
      <c r="G41" s="75"/>
      <c r="H41" s="75"/>
      <c r="I41" s="75"/>
      <c r="J41" s="75"/>
      <c r="K41" s="75"/>
      <c r="L41" s="75"/>
      <c r="M41" s="75"/>
      <c r="N41" s="63" t="s">
        <v>66</v>
      </c>
      <c r="O41" s="7"/>
    </row>
    <row r="42" spans="1:33" ht="15" customHeight="1">
      <c r="A42" s="5"/>
      <c r="B42" s="75" t="s">
        <v>74</v>
      </c>
      <c r="C42" s="75"/>
      <c r="D42" s="75"/>
      <c r="E42" s="75"/>
      <c r="F42" s="75"/>
      <c r="G42" s="75"/>
      <c r="H42" s="75"/>
      <c r="I42" s="75"/>
      <c r="J42" s="75"/>
      <c r="K42" s="75"/>
      <c r="L42" s="75"/>
      <c r="M42" s="75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107" t="s">
        <v>59</v>
      </c>
      <c r="C44" s="108"/>
      <c r="D44" s="108"/>
      <c r="E44" s="108"/>
      <c r="F44" s="108"/>
      <c r="G44" s="108"/>
      <c r="H44" s="108"/>
      <c r="I44" s="108"/>
      <c r="J44" s="108"/>
      <c r="K44" s="108"/>
      <c r="L44" s="108"/>
      <c r="M44" s="108"/>
      <c r="N44" s="109"/>
      <c r="O44" s="7"/>
    </row>
    <row r="45" spans="1:33">
      <c r="A45" s="5"/>
      <c r="B45" s="74" t="s">
        <v>81</v>
      </c>
      <c r="C45" s="75"/>
      <c r="D45" s="75"/>
      <c r="E45" s="75"/>
      <c r="F45" s="75"/>
      <c r="G45" s="75"/>
      <c r="H45" s="75"/>
      <c r="I45" s="75"/>
      <c r="J45" s="75"/>
      <c r="K45" s="75"/>
      <c r="L45" s="75"/>
      <c r="M45" s="75"/>
      <c r="N45" s="63" t="s">
        <v>60</v>
      </c>
      <c r="O45" s="7"/>
      <c r="AA45" s="45"/>
    </row>
    <row r="46" spans="1:33" ht="15" customHeight="1">
      <c r="A46" s="5"/>
      <c r="B46" s="75" t="s">
        <v>71</v>
      </c>
      <c r="C46" s="75"/>
      <c r="D46" s="75"/>
      <c r="E46" s="75"/>
      <c r="F46" s="75"/>
      <c r="G46" s="75"/>
      <c r="H46" s="75"/>
      <c r="I46" s="75"/>
      <c r="J46" s="75"/>
      <c r="K46" s="75"/>
      <c r="L46" s="75"/>
      <c r="M46" s="75"/>
      <c r="N46" s="63" t="s">
        <v>61</v>
      </c>
      <c r="O46" s="7"/>
      <c r="AA46" s="45"/>
    </row>
    <row r="47" spans="1:33" ht="15" customHeight="1">
      <c r="A47" s="5"/>
      <c r="B47" s="75" t="s">
        <v>75</v>
      </c>
      <c r="C47" s="75"/>
      <c r="D47" s="75"/>
      <c r="E47" s="75"/>
      <c r="F47" s="75"/>
      <c r="G47" s="75"/>
      <c r="H47" s="75"/>
      <c r="I47" s="75"/>
      <c r="J47" s="75"/>
      <c r="K47" s="75"/>
      <c r="L47" s="75"/>
      <c r="M47" s="75"/>
      <c r="N47" s="63" t="s">
        <v>62</v>
      </c>
      <c r="O47" s="7"/>
    </row>
    <row r="48" spans="1:33" ht="15" customHeight="1">
      <c r="A48" s="5"/>
      <c r="B48" s="75" t="s">
        <v>75</v>
      </c>
      <c r="C48" s="75"/>
      <c r="D48" s="75"/>
      <c r="E48" s="75"/>
      <c r="F48" s="75"/>
      <c r="G48" s="75"/>
      <c r="H48" s="75"/>
      <c r="I48" s="75"/>
      <c r="J48" s="75"/>
      <c r="K48" s="75"/>
      <c r="L48" s="75"/>
      <c r="M48" s="75"/>
      <c r="N48" s="63" t="s">
        <v>63</v>
      </c>
      <c r="O48" s="7"/>
    </row>
    <row r="49" spans="1:23">
      <c r="A49" s="5"/>
      <c r="B49" s="75" t="s">
        <v>78</v>
      </c>
      <c r="C49" s="75"/>
      <c r="D49" s="75"/>
      <c r="E49" s="75"/>
      <c r="F49" s="75"/>
      <c r="G49" s="75"/>
      <c r="H49" s="75"/>
      <c r="I49" s="75"/>
      <c r="J49" s="75"/>
      <c r="K49" s="75"/>
      <c r="L49" s="75"/>
      <c r="M49" s="75"/>
      <c r="N49" s="63" t="s">
        <v>64</v>
      </c>
      <c r="O49" s="7"/>
      <c r="W49" s="44"/>
    </row>
    <row r="50" spans="1:23" ht="18" customHeight="1">
      <c r="A50" s="5"/>
      <c r="B50" s="75" t="s">
        <v>69</v>
      </c>
      <c r="C50" s="75"/>
      <c r="D50" s="75"/>
      <c r="E50" s="75"/>
      <c r="F50" s="75"/>
      <c r="G50" s="75"/>
      <c r="H50" s="75"/>
      <c r="I50" s="75"/>
      <c r="J50" s="75"/>
      <c r="K50" s="75"/>
      <c r="L50" s="75"/>
      <c r="M50" s="75"/>
      <c r="N50" s="63" t="s">
        <v>65</v>
      </c>
      <c r="O50" s="7"/>
    </row>
    <row r="51" spans="1:23" ht="16.5" customHeight="1">
      <c r="A51" s="5"/>
      <c r="B51" s="75" t="s">
        <v>69</v>
      </c>
      <c r="C51" s="75"/>
      <c r="D51" s="75"/>
      <c r="E51" s="75"/>
      <c r="F51" s="75"/>
      <c r="G51" s="75"/>
      <c r="H51" s="75"/>
      <c r="I51" s="75"/>
      <c r="J51" s="75"/>
      <c r="K51" s="75"/>
      <c r="L51" s="75"/>
      <c r="M51" s="75"/>
      <c r="N51" s="63" t="s">
        <v>66</v>
      </c>
      <c r="O51" s="7"/>
    </row>
    <row r="52" spans="1:23" ht="14.25" customHeight="1">
      <c r="A52" s="5"/>
      <c r="B52" s="79" t="s">
        <v>68</v>
      </c>
      <c r="C52" s="80"/>
      <c r="D52" s="80"/>
      <c r="E52" s="80"/>
      <c r="F52" s="80"/>
      <c r="G52" s="80"/>
      <c r="H52" s="80"/>
      <c r="I52" s="80"/>
      <c r="J52" s="80"/>
      <c r="K52" s="80"/>
      <c r="L52" s="80"/>
      <c r="M52" s="80"/>
      <c r="N52" s="81"/>
      <c r="O52" s="7"/>
    </row>
    <row r="53" spans="1:23" ht="15.75" customHeight="1">
      <c r="A53" s="5"/>
      <c r="B53" s="77" t="s">
        <v>80</v>
      </c>
      <c r="C53" s="77"/>
      <c r="D53" s="77"/>
      <c r="E53" s="77"/>
      <c r="F53" s="77"/>
      <c r="G53" s="77"/>
      <c r="H53" s="77"/>
      <c r="I53" s="77"/>
      <c r="J53" s="77"/>
      <c r="K53" s="77"/>
      <c r="L53" s="77"/>
      <c r="M53" s="78"/>
      <c r="N53" s="65">
        <v>-1</v>
      </c>
      <c r="O53" s="7"/>
    </row>
    <row r="54" spans="1:23" ht="14.25" customHeight="1">
      <c r="A54" s="5"/>
      <c r="B54" s="77" t="s">
        <v>79</v>
      </c>
      <c r="C54" s="77"/>
      <c r="D54" s="77"/>
      <c r="E54" s="77"/>
      <c r="F54" s="77"/>
      <c r="G54" s="77"/>
      <c r="H54" s="77"/>
      <c r="I54" s="77"/>
      <c r="J54" s="77"/>
      <c r="K54" s="77"/>
      <c r="L54" s="77"/>
      <c r="M54" s="78"/>
      <c r="N54" s="65">
        <v>-2</v>
      </c>
      <c r="O54" s="7"/>
    </row>
    <row r="55" spans="1:23" ht="14.25" customHeight="1">
      <c r="A55" s="5"/>
      <c r="B55" s="76" t="s">
        <v>77</v>
      </c>
      <c r="C55" s="75"/>
      <c r="D55" s="75"/>
      <c r="E55" s="75"/>
      <c r="F55" s="75"/>
      <c r="G55" s="75"/>
      <c r="H55" s="75"/>
      <c r="I55" s="75"/>
      <c r="J55" s="75"/>
      <c r="K55" s="75"/>
      <c r="L55" s="75"/>
      <c r="M55" s="75"/>
      <c r="N55" s="65">
        <v>-3</v>
      </c>
      <c r="O55" s="7"/>
    </row>
    <row r="56" spans="1:23" ht="14.25" customHeight="1">
      <c r="A56" s="5"/>
      <c r="B56" s="82" t="s">
        <v>76</v>
      </c>
      <c r="C56" s="83"/>
      <c r="D56" s="83"/>
      <c r="E56" s="83"/>
      <c r="F56" s="83"/>
      <c r="G56" s="83"/>
      <c r="H56" s="83"/>
      <c r="I56" s="83"/>
      <c r="J56" s="83"/>
      <c r="K56" s="83"/>
      <c r="L56" s="83"/>
      <c r="M56" s="84"/>
      <c r="N56" s="65">
        <v>-4</v>
      </c>
      <c r="O56" s="7"/>
    </row>
    <row r="57" spans="1:23" ht="14.25" customHeight="1">
      <c r="A57" s="5"/>
      <c r="B57" s="72" t="s">
        <v>72</v>
      </c>
      <c r="C57" s="103" t="s">
        <v>41</v>
      </c>
      <c r="D57" s="103"/>
      <c r="E57" s="102"/>
      <c r="F57" s="102"/>
      <c r="G57" s="102"/>
      <c r="H57" s="102"/>
      <c r="I57" s="102"/>
      <c r="J57" s="102"/>
      <c r="K57" s="102"/>
      <c r="L57" s="102"/>
      <c r="M57" s="102"/>
      <c r="N57" s="66"/>
      <c r="O57" s="39"/>
      <c r="T57" s="48"/>
    </row>
    <row r="58" spans="1:23" ht="15.75" thickBot="1">
      <c r="A58" s="40"/>
      <c r="B58" s="68" t="s">
        <v>39</v>
      </c>
      <c r="C58" s="20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  <mergeCell ref="B5:C5"/>
    <mergeCell ref="G5:I5"/>
    <mergeCell ref="B6:N6"/>
    <mergeCell ref="B7:B8"/>
    <mergeCell ref="C7:H7"/>
    <mergeCell ref="I7:N7"/>
    <mergeCell ref="L5:M5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25:C26"/>
    <mergeCell ref="D25:H25"/>
    <mergeCell ref="I25:N25"/>
    <mergeCell ref="D26:E26"/>
    <mergeCell ref="G26:H26"/>
    <mergeCell ref="I26:J26"/>
    <mergeCell ref="B27:C27"/>
    <mergeCell ref="D27:E27"/>
    <mergeCell ref="G27:H27"/>
    <mergeCell ref="I27:J27"/>
    <mergeCell ref="B28:C28"/>
    <mergeCell ref="D28:E28"/>
    <mergeCell ref="G28:H28"/>
    <mergeCell ref="I28:J28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2026-02-23T22:40:57Z</dcterms:modified>
  <cp:contentStatus/>
</cp:coreProperties>
</file>