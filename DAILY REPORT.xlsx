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<sst xmlns="http://schemas.openxmlformats.org/spreadsheetml/2006/main" count="100" uniqueCount="80">
  <si>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</si>
  <si>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</si>
  <si>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</si>
  <si>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</si>
  <si>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</si>
  <si>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</si>
  <si>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</si>
  <si>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</si>
  <si>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</si>
  <si>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</si>
  <si>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</si>
  <si>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</si>
  <si>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</si>
  <si>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</si>
  <si>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</si>
  <si>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</si>
  <si>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</si>
  <si>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</si>
  <si>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</si>
  <si>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</si>
  <si>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</si>
  <si>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</si>
  <si>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</si>
  <si>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</si>
  <si>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</si>
  <si>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</si>
  <si>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</si>
  <si>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</si>
  <si>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</si>
  <si>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</si>
  <si>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</si>
  <si>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</si>
  <si>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</si>
  <si>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</si>
  <si>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</si>
  <si>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</si>
  <si>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</si>
  <si>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</si>
  <si>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</si>
  <si>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</si>
  <si>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</si>
  <si>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</si>
  <si>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</si>
  <si>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</si>
  <si>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</si>
  <si>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</si>
  <si>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</si>
  <si>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</si>
  <si>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</si>
  <si>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</si>
  <si>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</si>
  <si>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</si>
  <si>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</si>
  <si>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</si>
  <si>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</si>
  <si>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</si>
  <si>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</si>
  <si>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</si>
  <si>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</si>
  <si>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</si>
  <si>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</si>
  <si>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</si>
  <si>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</si>
  <si>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</si>
  <si>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</si>
  <si>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</si>
  <si>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</si>
  <si>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</si>
  <si>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</si>
  <si>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</si>
  <si>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</si>
  <si>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</si>
  <si>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</si>
  <si>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تحت اعمال الصيانة .</t>
  </si>
  <si>
    <t xml:space="preserve">على خط الإنتاج إلى خزانات 11/12. </t>
  </si>
  <si>
    <t>الوحدة رقم   لاتزال 7خارج خط الإنتاج/// الوحدة رقم 8 تم تشغيلها عند الساعة 17:30 ودخلت خط الإنتاج إلى خزانات 200 الساعة 22:00.</t>
  </si>
  <si>
    <t>14/12/2025</t>
  </si>
  <si>
    <t>علي خط الانتاج الي خزان 1360عند الساعة00:30.</t>
  </si>
  <si>
    <t>على خط الإنتاج إلى خزانات 200 / 201 بسبب ارتفاع نسبة المؤصلية .</t>
  </si>
  <si>
    <t xml:space="preserve">المياه المحلاه من تحلية اليوريا مستمرة 40 طن/الساعة **المياه المحلاه  من خزان 11/12 إلى خزان 1360 تم ايقافها عند الساعة00:30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</si>
</sst>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2" zoomScaleNormal="10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76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680</v>
      </c>
      <c r="D10" s="25">
        <v>34</v>
      </c>
      <c r="E10" s="25">
        <v>7</v>
      </c>
      <c r="F10" s="25">
        <v>11</v>
      </c>
      <c r="G10" s="25">
        <v>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38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5240</v>
      </c>
      <c r="C16" s="11">
        <f>C9+C10+C11</f>
        <v>1160</v>
      </c>
      <c r="D16" s="11">
        <f>SUM(D9:D15)</f>
        <v>54</v>
      </c>
      <c r="E16" s="25"/>
      <c r="F16" s="11">
        <f>SUM(F12,F10,F11)</f>
        <v>22</v>
      </c>
      <c r="G16" s="11">
        <f>SUM(G9:G11)</f>
        <v>4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4.5999999999999996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5240</v>
      </c>
      <c r="C21" s="25">
        <v>0</v>
      </c>
      <c r="D21" s="25">
        <v>20</v>
      </c>
      <c r="E21" s="25">
        <v>480</v>
      </c>
      <c r="F21" s="25">
        <v>680</v>
      </c>
      <c r="G21" s="78"/>
      <c r="H21" s="78"/>
      <c r="I21" s="25"/>
      <c r="J21" s="25">
        <v>0</v>
      </c>
      <c r="K21" s="25">
        <v>0</v>
      </c>
      <c r="L21" s="92">
        <v>4060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0.2</v>
      </c>
      <c r="G22" s="90"/>
      <c r="H22" s="91"/>
      <c r="I22" s="49"/>
      <c r="J22" s="50"/>
      <c r="K22" s="50"/>
      <c r="L22" s="37">
        <v>0.81</v>
      </c>
      <c r="M22" s="37">
        <v>0.82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6</v>
      </c>
      <c r="L27" s="30">
        <v>10</v>
      </c>
      <c r="M27" s="59">
        <v>48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80</v>
      </c>
      <c r="C28" s="95"/>
      <c r="D28" s="95">
        <f>F28+G28</f>
        <v>21</v>
      </c>
      <c r="E28" s="95"/>
      <c r="F28" s="31">
        <v>0</v>
      </c>
      <c r="G28" s="96">
        <v>21</v>
      </c>
      <c r="H28" s="96"/>
      <c r="I28" s="95">
        <f>K28+L28+M28</f>
        <v>59</v>
      </c>
      <c r="J28" s="95"/>
      <c r="K28" s="31">
        <v>29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7805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5705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70</v>
      </c>
      <c r="F33" s="98">
        <v>0</v>
      </c>
      <c r="G33" s="99"/>
      <c r="H33" s="98">
        <v>0.76</v>
      </c>
      <c r="I33" s="99"/>
      <c r="J33" s="98">
        <v>0.75</v>
      </c>
      <c r="K33" s="99"/>
      <c r="L33" s="98">
        <v>0.93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26700</v>
      </c>
      <c r="C37" s="77"/>
      <c r="D37" s="25">
        <v>100</v>
      </c>
      <c r="E37" s="78">
        <v>6600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77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78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74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79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75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/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kPdltwDaZG/lx2R1+OoyTq4N4WHOvX7hlkuhZPJS7CAj2iNaJXwtRrak/yqtlLc26G0EEV7txKHLawsBID3rLQ==" saltValue="lJp3Pmmzfl9+2U+cX1SxiA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2025-12-14T23:14:16Z</dcterms:modified>
  <cp:contentStatus/>
</cp:coreProperties>
</file>