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<sst xmlns="http://schemas.openxmlformats.org/spreadsheetml/2006/main" count="100" uniqueCount="79">
  <si>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</si>
  <si>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</si>
  <si>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</si>
  <si>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</si>
  <si>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</si>
  <si>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</si>
  <si>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</si>
  <si>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</si>
  <si>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</si>
  <si>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</si>
  <si>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</si>
  <si>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</si>
  <si>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</si>
  <si>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</si>
  <si>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</si>
  <si>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</si>
  <si>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</si>
  <si>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</si>
  <si>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</si>
  <si>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</si>
  <si>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</si>
  <si>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</si>
  <si>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</si>
  <si>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</si>
  <si>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</si>
  <si>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</si>
  <si>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</si>
  <si>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</si>
  <si>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</si>
  <si>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</si>
  <si>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</si>
  <si>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</si>
  <si>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</si>
  <si>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</si>
  <si>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</si>
  <si>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</si>
  <si>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</si>
  <si>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</si>
  <si>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</si>
  <si>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</si>
  <si>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</si>
  <si>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</si>
  <si>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</si>
  <si>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</si>
  <si>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</si>
  <si>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</si>
  <si>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</si>
  <si>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</si>
  <si>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</si>
  <si>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</si>
  <si>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</si>
  <si>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</si>
  <si>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</si>
  <si>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</si>
  <si>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</si>
  <si>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</si>
  <si>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</si>
  <si>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</si>
  <si>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</si>
  <si>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</si>
  <si>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</si>
  <si>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</si>
  <si>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</si>
  <si>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</si>
  <si>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</si>
  <si>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</si>
  <si>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</si>
  <si>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</si>
  <si>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</si>
  <si>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</si>
  <si>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</si>
  <si>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</si>
  <si>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</si>
  <si>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</si>
  <si>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علي خط الانتاج الي الخزنات 11/12 .</t>
  </si>
  <si>
    <t>حماتة محمد</t>
  </si>
  <si>
    <t>المياة المرسلة من التحلية الثانية الي التحلية الاولي مستمرة.</t>
  </si>
  <si>
    <t>يتم ارسال 10 طن من البخار من مصانع اليوريا الي التحلية الثانية.</t>
  </si>
  <si>
    <t>خارج الخدمة وتحت اعمال الصيانة.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</si>
</sst>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7" zoomScale="145" zoomScaleNormal="145" zoomScalePageLayoutView="120" workbookViewId="0">
      <selection activeCell="L22" sqref="L2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46029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1.8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/>
      <c r="E11" s="25"/>
      <c r="F11" s="25"/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11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6072</v>
      </c>
      <c r="C16" s="11">
        <f>C9+C10+C11</f>
        <v>816</v>
      </c>
      <c r="D16" s="11">
        <f>SUM(D9:D15)</f>
        <v>34</v>
      </c>
      <c r="E16" s="25">
        <v>1.8</v>
      </c>
      <c r="F16" s="11">
        <f>SUM(F12,F10,F11)</f>
        <v>11</v>
      </c>
      <c r="G16" s="11">
        <f>SUM(G9:G11)</f>
        <v>24</v>
      </c>
      <c r="H16" s="13" t="s">
        <v>14</v>
      </c>
      <c r="I16" s="11">
        <f>I9+I10+I11+I12+I13+I14+I15</f>
        <v>5256</v>
      </c>
      <c r="J16" s="11">
        <f>J9+J10+J11+J12+J13+J14+J15</f>
        <v>219</v>
      </c>
      <c r="K16" s="25">
        <v>6.2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6072</v>
      </c>
      <c r="C21" s="25">
        <v>0</v>
      </c>
      <c r="D21" s="25">
        <v>20</v>
      </c>
      <c r="E21" s="25">
        <v>0</v>
      </c>
      <c r="F21" s="25">
        <v>1416</v>
      </c>
      <c r="G21" s="90"/>
      <c r="H21" s="90"/>
      <c r="I21" s="25"/>
      <c r="J21" s="25">
        <v>0</v>
      </c>
      <c r="K21" s="25">
        <v>0</v>
      </c>
      <c r="L21" s="95">
        <v>4636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0.96</v>
      </c>
      <c r="F22" s="56">
        <v>0.74</v>
      </c>
      <c r="G22" s="94"/>
      <c r="H22" s="93"/>
      <c r="I22" s="49"/>
      <c r="J22" s="50"/>
      <c r="K22" s="50"/>
      <c r="L22" s="37">
        <v>0.77</v>
      </c>
      <c r="M22" s="37">
        <v>0.76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95</v>
      </c>
      <c r="C27" s="91"/>
      <c r="D27" s="91">
        <f>G27+F27</f>
        <v>11</v>
      </c>
      <c r="E27" s="91"/>
      <c r="F27" s="30">
        <v>0</v>
      </c>
      <c r="G27" s="92">
        <v>11</v>
      </c>
      <c r="H27" s="92"/>
      <c r="I27" s="91">
        <f>K27+L27+M27</f>
        <v>84</v>
      </c>
      <c r="J27" s="91"/>
      <c r="K27" s="30">
        <v>37</v>
      </c>
      <c r="L27" s="30">
        <v>10</v>
      </c>
      <c r="M27" s="59">
        <v>37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89</v>
      </c>
      <c r="C28" s="91"/>
      <c r="D28" s="91">
        <f>F28+G28</f>
        <v>10</v>
      </c>
      <c r="E28" s="91"/>
      <c r="F28" s="31">
        <v>0</v>
      </c>
      <c r="G28" s="92">
        <v>10</v>
      </c>
      <c r="H28" s="92"/>
      <c r="I28" s="91">
        <f>K28+L28+M28</f>
        <v>79</v>
      </c>
      <c r="J28" s="91"/>
      <c r="K28" s="31">
        <v>60</v>
      </c>
      <c r="L28" s="31">
        <v>0</v>
      </c>
      <c r="M28" s="62">
        <v>19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7053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4953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0.97</v>
      </c>
      <c r="I33" s="89"/>
      <c r="J33" s="88">
        <v>0.82</v>
      </c>
      <c r="K33" s="89"/>
      <c r="L33" s="88">
        <v>0.86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27900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78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76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77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75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2026-01-07T23:09:44Z</dcterms:modified>
  <cp:contentStatus/>
</cp:coreProperties>
</file>