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<sst xmlns="http://schemas.openxmlformats.org/spreadsheetml/2006/main" count="101" uniqueCount="82">
  <si>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</si>
  <si>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</si>
  <si>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</si>
  <si>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</si>
  <si>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</si>
  <si>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</si>
  <si>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</si>
  <si>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</si>
  <si>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</si>
  <si>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</si>
  <si>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</si>
  <si>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</si>
  <si>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</si>
  <si>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</si>
  <si>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</si>
  <si>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</si>
  <si>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</si>
  <si>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</si>
  <si>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</si>
  <si>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</si>
  <si>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</si>
  <si>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</si>
  <si>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</si>
  <si>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</si>
  <si>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</si>
  <si>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</si>
  <si>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</si>
  <si>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</si>
  <si>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</si>
  <si>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</si>
  <si>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</si>
  <si>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</si>
  <si>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</si>
  <si>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</si>
  <si>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</si>
  <si>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</si>
  <si>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</si>
  <si>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</si>
  <si>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</si>
  <si>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</si>
  <si>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</si>
  <si>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</si>
  <si>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</si>
  <si>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</si>
  <si>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</si>
  <si>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</si>
  <si>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</si>
  <si>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</si>
  <si>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</si>
  <si>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</si>
  <si>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</si>
  <si>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</si>
  <si>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</si>
  <si>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</si>
  <si>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</si>
  <si>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</si>
  <si>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</si>
  <si>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</si>
  <si>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</si>
  <si>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</si>
  <si>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</si>
  <si>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</si>
  <si>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</si>
  <si>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</si>
  <si>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</si>
  <si>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</si>
  <si>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</si>
  <si>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</si>
  <si>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</si>
  <si>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</si>
  <si>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</si>
  <si>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</si>
  <si>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>علي خط الانتاج الي خزانات ( TK-11/12).</t>
  </si>
  <si>
    <t xml:space="preserve">علي خط الانتاج الي خزانات ( TK-11/12). </t>
  </si>
  <si>
    <t>تحت أعمال الصيانه.</t>
  </si>
  <si>
    <t xml:space="preserve">المضخة الكهربائية 1105 مع قسم صيانة الآلات الدوارة (MMR) لإجراء الصيانه الشامله,حسب توصيات قسم التفتيش ( M&amp;I + MAG ) </t>
  </si>
  <si>
    <t>حماتة محمد</t>
  </si>
  <si>
    <t>علي خط الانتاج الي خزانات TK-11/12.</t>
  </si>
  <si>
    <t xml:space="preserve"> ارسال 5 طن من البخار من مصنع اليوريا 2 الي تحلية الثانية لا يزال مستمر. </t>
  </si>
  <si>
    <t xml:space="preserve"> علي خط  الإنتاج إلى خزان 1360.</t>
  </si>
  <si>
    <t xml:space="preserve"> على خط الإنتاج إلى خزان 1360.</t>
  </si>
  <si>
    <t xml:space="preserve"> المياه المحلاه المرسله من تحلية اليوريا إلى ( 11/12- TK)  مستمره بمعدل 40m³/Hr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</si>
</sst>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" zoomScale="130" zoomScaleNormal="130" zoomScalePageLayoutView="120" workbookViewId="0">
      <selection activeCell="H39" sqref="H39:J39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46088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1344</v>
      </c>
      <c r="J9" s="23">
        <v>56</v>
      </c>
      <c r="K9" s="24">
        <v>4.9000000000000004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2.4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3.8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7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0</v>
      </c>
      <c r="J12" s="25"/>
      <c r="K12" s="25"/>
      <c r="L12" s="25"/>
      <c r="M12" s="25">
        <v>24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18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5568</v>
      </c>
      <c r="C16" s="11">
        <f>C9+C10+C11</f>
        <v>1440</v>
      </c>
      <c r="D16" s="11">
        <f>SUM(D9:D15)</f>
        <v>60</v>
      </c>
      <c r="E16" s="25">
        <v>3.1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4128</v>
      </c>
      <c r="J16" s="11">
        <f>J9+J10+J11+J12+J13+J14+J15</f>
        <v>172</v>
      </c>
      <c r="K16" s="25">
        <v>9.9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5568</v>
      </c>
      <c r="C21" s="25">
        <v>0</v>
      </c>
      <c r="D21" s="25">
        <v>20</v>
      </c>
      <c r="E21" s="25">
        <v>0</v>
      </c>
      <c r="F21" s="25">
        <v>720</v>
      </c>
      <c r="G21" s="78">
        <v>0</v>
      </c>
      <c r="H21" s="78"/>
      <c r="I21" s="25">
        <v>300</v>
      </c>
      <c r="J21" s="25">
        <v>0</v>
      </c>
      <c r="K21" s="25">
        <v>0</v>
      </c>
      <c r="L21" s="91">
        <v>4828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0.88</v>
      </c>
      <c r="F22" s="56">
        <v>0.74</v>
      </c>
      <c r="G22" s="89"/>
      <c r="H22" s="90"/>
      <c r="I22" s="49"/>
      <c r="J22" s="50"/>
      <c r="K22" s="50"/>
      <c r="L22" s="37">
        <v>0.91</v>
      </c>
      <c r="M22" s="37">
        <v>0.9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92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70</v>
      </c>
      <c r="J27" s="94"/>
      <c r="K27" s="30">
        <v>36</v>
      </c>
      <c r="L27" s="30">
        <v>5</v>
      </c>
      <c r="M27" s="59">
        <v>29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85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65</v>
      </c>
      <c r="J28" s="94"/>
      <c r="K28" s="31">
        <v>49</v>
      </c>
      <c r="L28" s="31">
        <v>0</v>
      </c>
      <c r="M28" s="62">
        <v>16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8007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5907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0.9</v>
      </c>
      <c r="G33" s="98"/>
      <c r="H33" s="97">
        <v>0.76</v>
      </c>
      <c r="I33" s="98"/>
      <c r="J33" s="97">
        <v>0.78</v>
      </c>
      <c r="K33" s="98"/>
      <c r="L33" s="97">
        <v>0.94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27200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960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79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80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77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71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72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74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73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81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75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78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76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2026-03-08T16:06:00Z</dcterms:modified>
  <cp:contentStatus/>
</cp:coreProperties>
</file>