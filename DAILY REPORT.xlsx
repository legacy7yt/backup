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<sst xmlns="http://schemas.openxmlformats.org/spreadsheetml/2006/main" count="101" uniqueCount="82">
  <si>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</si>
  <si>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</si>
  <si>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</si>
  <si>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</si>
  <si>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</si>
  <si>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</si>
  <si>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</si>
  <si>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</si>
  <si>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</si>
  <si>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</si>
  <si>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</si>
  <si>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</si>
  <si>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</si>
  <si>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</si>
  <si>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</si>
  <si>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</si>
  <si>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</si>
  <si>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</si>
  <si>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</si>
  <si>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</si>
  <si>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</si>
  <si>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</si>
  <si>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</si>
  <si>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</si>
  <si>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</si>
  <si>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</si>
  <si>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</si>
  <si>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</si>
  <si>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</si>
  <si>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</si>
  <si>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</si>
  <si>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</si>
  <si>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</si>
  <si>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</si>
  <si>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</si>
  <si>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</si>
  <si>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</si>
  <si>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</si>
  <si>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</si>
  <si>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</si>
  <si>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</si>
  <si>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</si>
  <si>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</si>
  <si>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</si>
  <si>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</si>
  <si>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</si>
  <si>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</si>
  <si>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</si>
  <si>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</si>
  <si>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</si>
  <si>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</si>
  <si>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</si>
  <si>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</si>
  <si>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</si>
  <si>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</si>
  <si>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</si>
  <si>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</si>
  <si>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</si>
  <si>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</si>
  <si>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</si>
  <si>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</si>
  <si>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</si>
  <si>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</si>
  <si>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</si>
  <si>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</si>
  <si>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</si>
  <si>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</si>
  <si>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</si>
  <si>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</si>
  <si>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</si>
  <si>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</si>
  <si>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</si>
  <si>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>علي خط الانتاج الي خزانات ( TK-11/12).</t>
  </si>
  <si>
    <t xml:space="preserve">علي خط الانتاج الي خزانات ( TK-11/12). </t>
  </si>
  <si>
    <t xml:space="preserve"> علي خط الإنتاج الي خزان (TK-1360) .</t>
  </si>
  <si>
    <t xml:space="preserve"> علي خط الإنتاج الي خزان (TK-1360) .  </t>
  </si>
  <si>
    <t xml:space="preserve"> </t>
  </si>
  <si>
    <t>تحت أعمال الصيانه.</t>
  </si>
  <si>
    <t xml:space="preserve">المضخة الكهربائية 1105 مع قسم صيانة الآلات الدوارة (MMR) لإجراء الصيانه الشامله,حسب توصيات قسم التفتيش ( M&amp;I + MAG ) </t>
  </si>
  <si>
    <t>تم تشغيلها عند الساعة 16:40وعلي خط السكنية عند الساعة 19:00والي خط الانتاج الي خزانات 11/12 عند الساعة 23:00مساء.</t>
  </si>
  <si>
    <t xml:space="preserve"> المياه المحلاه المرسله من تحلية اليوريا إلى ( 11/12- TK)  مستمره بمعدل 45m³/Hr .</t>
  </si>
  <si>
    <t>حماتة محمد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</si>
</sst>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B57" sqref="B5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46084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280</v>
      </c>
      <c r="J9" s="23">
        <v>56</v>
      </c>
      <c r="K9" s="24">
        <v>13</v>
      </c>
      <c r="L9" s="23">
        <v>20</v>
      </c>
      <c r="M9" s="23">
        <v>19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/>
      <c r="M12" s="25">
        <v>24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4504</v>
      </c>
      <c r="C16" s="11">
        <f>C9+C10+C11</f>
        <v>1440</v>
      </c>
      <c r="D16" s="11">
        <f>SUM(D9:D15)</f>
        <v>60</v>
      </c>
      <c r="E16" s="25">
        <v>3.3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3064</v>
      </c>
      <c r="J16" s="11">
        <f>J9+J10+J11+J12+J13+J14+J15</f>
        <v>172</v>
      </c>
      <c r="K16" s="25">
        <v>12</v>
      </c>
      <c r="L16" s="11">
        <f>SUM(L9:L15)</f>
        <v>60</v>
      </c>
      <c r="M16" s="11">
        <f>SUM(M9:M15)</f>
        <v>115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4504</v>
      </c>
      <c r="C21" s="25">
        <v>0</v>
      </c>
      <c r="D21" s="25">
        <v>20</v>
      </c>
      <c r="E21" s="25"/>
      <c r="F21" s="25">
        <v>1440</v>
      </c>
      <c r="G21" s="90">
        <v>224</v>
      </c>
      <c r="H21" s="90"/>
      <c r="I21" s="25">
        <v>0</v>
      </c>
      <c r="J21" s="25">
        <v>0</v>
      </c>
      <c r="K21" s="25">
        <v>0</v>
      </c>
      <c r="L21" s="95">
        <v>2820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0.75</v>
      </c>
      <c r="G22" s="94"/>
      <c r="H22" s="93"/>
      <c r="I22" s="49"/>
      <c r="J22" s="50"/>
      <c r="K22" s="50"/>
      <c r="L22" s="37">
        <v>0.81</v>
      </c>
      <c r="M22" s="37">
        <v>0.8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88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66</v>
      </c>
      <c r="J27" s="91"/>
      <c r="K27" s="30">
        <v>28</v>
      </c>
      <c r="L27" s="30">
        <v>5</v>
      </c>
      <c r="M27" s="59">
        <v>33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43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7329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5229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0.74</v>
      </c>
      <c r="G33" s="89"/>
      <c r="H33" s="88">
        <v>0.72</v>
      </c>
      <c r="I33" s="89"/>
      <c r="J33" s="88">
        <v>0.81</v>
      </c>
      <c r="K33" s="89"/>
      <c r="L33" s="88">
        <v>0.92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1185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75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74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79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77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80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78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76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81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2026-03-03T23:03:56Z</dcterms:modified>
  <cp:contentStatus/>
</cp:coreProperties>
</file>