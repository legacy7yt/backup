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<sst xmlns="http://schemas.openxmlformats.org/spreadsheetml/2006/main" count="100" uniqueCount="82">
  <si>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</si>
  <si>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</si>
  <si>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</si>
  <si>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</si>
  <si>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</si>
  <si>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</si>
  <si>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</si>
  <si>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</si>
  <si>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</si>
  <si>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</si>
  <si>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</si>
  <si>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</si>
  <si>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</si>
  <si>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</si>
  <si>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</si>
  <si>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</si>
  <si>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</si>
  <si>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</si>
  <si>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</si>
  <si>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</si>
  <si>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</si>
  <si>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</si>
  <si>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</si>
  <si>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</si>
  <si>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</si>
  <si>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</si>
  <si>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</si>
  <si>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</si>
  <si>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</si>
  <si>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</si>
  <si>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</si>
  <si>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</si>
  <si>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</si>
  <si>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</si>
  <si>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</si>
  <si>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</si>
  <si>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</si>
  <si>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</si>
  <si>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</si>
  <si>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</si>
  <si>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</si>
  <si>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</si>
  <si>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</si>
  <si>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</si>
  <si>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</si>
  <si>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</si>
  <si>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</si>
  <si>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</si>
  <si>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</si>
  <si>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</si>
  <si>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</si>
  <si>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</si>
  <si>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</si>
  <si>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</si>
  <si>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</si>
  <si>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</si>
  <si>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</si>
  <si>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</si>
  <si>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</si>
  <si>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</si>
  <si>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</si>
  <si>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</si>
  <si>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</si>
  <si>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</si>
  <si>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</si>
  <si>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</si>
  <si>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</si>
  <si>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</si>
  <si>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</si>
  <si>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</si>
  <si>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</si>
  <si>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</si>
  <si>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</si>
  <si>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</si>
  <si>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</si>
  <si>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</si>
  <si>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</si>
  <si>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</si>
  <si>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</si>
  <si>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المياه المحلاة المرسلة من خزانات تحلية اليوريا الي خزانات 11/12 مستمرة بمعدل 20/ ساعة</t>
  </si>
  <si>
    <t>محمد بالخير</t>
  </si>
  <si>
    <t xml:space="preserve"> كمية البخار المرسلة من مصنع اليوريا إلى محطة التحليه الثانيه مستمرة بمعدل 14 طن / ساعة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</si>
</sst>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46138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7.4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2.6</v>
      </c>
      <c r="F10" s="25">
        <v>11</v>
      </c>
      <c r="G10" s="25"/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2.2999999999999998</v>
      </c>
      <c r="F11" s="25">
        <v>11</v>
      </c>
      <c r="G11" s="25"/>
      <c r="H11" s="11">
        <v>8</v>
      </c>
      <c r="I11" s="8">
        <f>J11*(24-M11)</f>
        <v>1416</v>
      </c>
      <c r="J11" s="25">
        <v>59</v>
      </c>
      <c r="K11" s="25">
        <v>7.9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5472</v>
      </c>
      <c r="C16" s="11">
        <f>C9+C10+C11</f>
        <v>1440</v>
      </c>
      <c r="D16" s="11">
        <f>SUM(D9:D15)</f>
        <v>60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6.7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5472</v>
      </c>
      <c r="C21" s="25">
        <v>0</v>
      </c>
      <c r="D21" s="25">
        <v>20</v>
      </c>
      <c r="E21" s="25">
        <v>0</v>
      </c>
      <c r="F21" s="25">
        <v>1440</v>
      </c>
      <c r="G21" s="90"/>
      <c r="H21" s="90"/>
      <c r="I21" s="25"/>
      <c r="J21" s="25">
        <v>0</v>
      </c>
      <c r="K21" s="25">
        <v>0</v>
      </c>
      <c r="L21" s="95">
        <v>4012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0.71</v>
      </c>
      <c r="G22" s="94"/>
      <c r="H22" s="93"/>
      <c r="I22" s="49"/>
      <c r="J22" s="50"/>
      <c r="K22" s="50"/>
      <c r="L22" s="37">
        <v>0.63</v>
      </c>
      <c r="M22" s="37">
        <v>0.63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39</v>
      </c>
      <c r="L27" s="30">
        <v>14</v>
      </c>
      <c r="M27" s="59">
        <v>17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7833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5733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0.77</v>
      </c>
      <c r="G33" s="89"/>
      <c r="H33" s="88">
        <v>0.65</v>
      </c>
      <c r="I33" s="89"/>
      <c r="J33" s="88">
        <v>0.69</v>
      </c>
      <c r="K33" s="89"/>
      <c r="L33" s="88">
        <v>0.85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28050</v>
      </c>
      <c r="C37" s="87"/>
      <c r="D37" s="25">
        <v>100</v>
      </c>
      <c r="E37" s="90">
        <v>8000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480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81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80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2026-04-27T02:45:17Z</dcterms:modified>
  <cp:contentStatus/>
</cp:coreProperties>
</file>