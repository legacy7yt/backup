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<sst xmlns="http://schemas.openxmlformats.org/spreadsheetml/2006/main" count="101" uniqueCount="83">
  <si>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</si>
  <si>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</si>
  <si>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</si>
  <si>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</si>
  <si>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</si>
  <si>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</si>
  <si>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</si>
  <si>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</si>
  <si>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</si>
  <si>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</si>
  <si>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</si>
  <si>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</si>
  <si>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</si>
  <si>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</si>
  <si>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</si>
  <si>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</si>
  <si>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</si>
  <si>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</si>
  <si>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</si>
  <si>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</si>
  <si>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</si>
  <si>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</si>
  <si>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</si>
  <si>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</si>
  <si>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</si>
  <si>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</si>
  <si>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</si>
  <si>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</si>
  <si>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</si>
  <si>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</si>
  <si>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</si>
  <si>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</si>
  <si>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</si>
  <si>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</si>
  <si>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</si>
  <si>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</si>
  <si>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</si>
  <si>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</si>
  <si>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</si>
  <si>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</si>
  <si>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</si>
  <si>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</si>
  <si>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</si>
  <si>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</si>
  <si>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</si>
  <si>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</si>
  <si>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</si>
  <si>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</si>
  <si>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</si>
  <si>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</si>
  <si>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</si>
  <si>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</si>
  <si>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</si>
  <si>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</si>
  <si>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</si>
  <si>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</si>
  <si>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</si>
  <si>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</si>
  <si>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</si>
  <si>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</si>
  <si>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</si>
  <si>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</si>
  <si>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</si>
  <si>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</si>
  <si>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</si>
  <si>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</si>
  <si>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</si>
  <si>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</si>
  <si>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</si>
  <si>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</si>
  <si>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</si>
  <si>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</si>
  <si>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</si>
  <si>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تحت اعمال الصيانة</t>
  </si>
  <si>
    <t xml:space="preserve"> على خط الانتاج إلى خزانات 11/12.</t>
  </si>
  <si>
    <t>علي خط الانتاج الي الخزانات 11/12.</t>
  </si>
  <si>
    <t>على خط الانتاج إلى خزانات 11/12.</t>
  </si>
  <si>
    <t xml:space="preserve"> المياه المحلاة المرسلة من خزانات تحلية اليوريا الي خزانات 11/12 مستمرة بمعدل35م3 /ساعة.</t>
  </si>
  <si>
    <t xml:space="preserve"> على خط الانتاج الي الخزان 1360  .</t>
  </si>
  <si>
    <t>علي خط الانتاج الي الخزان 1360 .</t>
  </si>
  <si>
    <t xml:space="preserve"> كمية البخار المرسلة من مصنع اليوريا إلى محطة التحليه الثانيه مستمرة بمعدل 5 طن / ساعة .</t>
  </si>
  <si>
    <t>تما ايقاف ارسال المياه المحلاه من التحلية الاولة الي خزنات TK11,12 عند الساعة 09:00 صباحا</t>
  </si>
  <si>
    <t xml:space="preserve"> وليد محمد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</si>
</sst>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7" zoomScale="130" zoomScaleNormal="130" zoomScalePageLayoutView="120" workbookViewId="0">
      <selection activeCell="D10" sqref="D10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46155</v>
      </c>
      <c r="C5" s="98"/>
      <c r="D5" s="35" t="s">
        <v>4</v>
      </c>
      <c r="G5" s="99" t="s">
        <v>5</v>
      </c>
      <c r="H5" s="99"/>
      <c r="I5" s="99"/>
      <c r="L5" s="100"/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1224</v>
      </c>
      <c r="J9" s="23">
        <v>51</v>
      </c>
      <c r="K9" s="24">
        <v>9.3000000000000007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</v>
      </c>
      <c r="F10" s="25">
        <v>11</v>
      </c>
      <c r="G10" s="25"/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4.5</v>
      </c>
      <c r="F11" s="25">
        <v>11</v>
      </c>
      <c r="G11" s="25"/>
      <c r="H11" s="11">
        <v>8</v>
      </c>
      <c r="I11" s="8">
        <f>J11*(24-M11)</f>
        <v>1464</v>
      </c>
      <c r="J11" s="25">
        <v>61</v>
      </c>
      <c r="K11" s="25">
        <v>9.5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1200</v>
      </c>
      <c r="J12" s="25">
        <v>50</v>
      </c>
      <c r="K12" s="25">
        <v>10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5328</v>
      </c>
      <c r="C16" s="11">
        <f>C9+C10+C11</f>
        <v>1440</v>
      </c>
      <c r="D16" s="11">
        <f>SUM(D9:D15)</f>
        <v>60</v>
      </c>
      <c r="E16" s="25">
        <v>3.2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3888</v>
      </c>
      <c r="J16" s="11">
        <f>J9+J10+J11+J12+J13+J14+J15</f>
        <v>162</v>
      </c>
      <c r="K16" s="25">
        <v>9.6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5352</v>
      </c>
      <c r="C21" s="25">
        <v>0</v>
      </c>
      <c r="D21" s="25">
        <v>20</v>
      </c>
      <c r="E21" s="25">
        <v>0</v>
      </c>
      <c r="F21" s="25">
        <v>900</v>
      </c>
      <c r="G21" s="90">
        <v>0</v>
      </c>
      <c r="H21" s="90"/>
      <c r="I21" s="25"/>
      <c r="J21" s="25">
        <v>0</v>
      </c>
      <c r="K21" s="25">
        <v>0</v>
      </c>
      <c r="L21" s="95">
        <v>4432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0.71</v>
      </c>
      <c r="F22" s="56">
        <v>0.94</v>
      </c>
      <c r="G22" s="94"/>
      <c r="H22" s="93"/>
      <c r="I22" s="49"/>
      <c r="J22" s="50"/>
      <c r="K22" s="50"/>
      <c r="L22" s="37">
        <v>0.46</v>
      </c>
      <c r="M22" s="37">
        <v>0.46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87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65</v>
      </c>
      <c r="J27" s="91"/>
      <c r="K27" s="30">
        <v>37</v>
      </c>
      <c r="L27" s="30">
        <v>5</v>
      </c>
      <c r="M27" s="59">
        <v>23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80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60</v>
      </c>
      <c r="J28" s="91"/>
      <c r="K28" s="31">
        <v>52</v>
      </c>
      <c r="L28" s="31">
        <v>0</v>
      </c>
      <c r="M28" s="62">
        <v>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6082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3982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0.78</v>
      </c>
      <c r="G33" s="89"/>
      <c r="H33" s="88">
        <v>0.7</v>
      </c>
      <c r="I33" s="89"/>
      <c r="J33" s="88">
        <v>0.73</v>
      </c>
      <c r="K33" s="89"/>
      <c r="L33" s="88">
        <v>0.86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28150</v>
      </c>
      <c r="C37" s="87"/>
      <c r="D37" s="25">
        <v>100</v>
      </c>
      <c r="E37" s="90">
        <v>6700</v>
      </c>
      <c r="F37" s="90"/>
      <c r="G37" s="90">
        <v>10000</v>
      </c>
      <c r="H37" s="90"/>
      <c r="I37" s="25">
        <v>5000</v>
      </c>
      <c r="J37" s="25">
        <v>750</v>
      </c>
      <c r="K37" s="25">
        <v>200</v>
      </c>
      <c r="L37" s="25">
        <v>1500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840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78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79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74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70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75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76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73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71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72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77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80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81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82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2026-05-13T23:13:44Z</dcterms:modified>
  <cp:contentStatus/>
</cp:coreProperties>
</file>