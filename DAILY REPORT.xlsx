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<sst xmlns="http://schemas.openxmlformats.org/spreadsheetml/2006/main" count="102" uniqueCount="82">
  <si>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</si>
  <si>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</si>
  <si>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</si>
  <si>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</si>
  <si>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</si>
  <si>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</si>
  <si>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</si>
  <si>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</si>
  <si>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</si>
  <si>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</si>
  <si>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</si>
  <si>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</si>
  <si>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</si>
  <si>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</si>
  <si>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</si>
  <si>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</si>
  <si>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</si>
  <si>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</si>
  <si>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</si>
  <si>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</si>
  <si>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</si>
  <si>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</si>
  <si>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</si>
  <si>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</si>
  <si>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</si>
  <si>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</si>
  <si>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</si>
  <si>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</si>
  <si>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</si>
  <si>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</si>
  <si>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</si>
  <si>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</si>
  <si>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</si>
  <si>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</si>
  <si>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</si>
  <si>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</si>
  <si>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</si>
  <si>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</si>
  <si>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</si>
  <si>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</si>
  <si>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</si>
  <si>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</si>
  <si>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</si>
  <si>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</si>
  <si>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</si>
  <si>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</si>
  <si>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</si>
  <si>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</si>
  <si>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</si>
  <si>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</si>
  <si>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</si>
  <si>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</si>
  <si>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</si>
  <si>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</si>
  <si>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</si>
  <si>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</si>
  <si>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</si>
  <si>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</si>
  <si>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</si>
  <si>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</si>
  <si>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</si>
  <si>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</si>
  <si>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</si>
  <si>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</si>
  <si>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</si>
  <si>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</si>
  <si>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</si>
  <si>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</si>
  <si>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</si>
  <si>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</si>
  <si>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</si>
  <si>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</si>
  <si>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</si>
  <si>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</si>
  <si>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 .</t>
  </si>
  <si>
    <t xml:space="preserve"> تم تحويلها الي خط البحر بسبب ارتفاع المؤصلية عند الساعة 22:00مساء.</t>
  </si>
  <si>
    <t>علي خط الانتاج الي خزانات 11/12 عند الساعة 04:10 صباحا.</t>
  </si>
  <si>
    <t>يتم ارسال 11طن من البخار من مصانع اليوريا الي التحلية الثانية.</t>
  </si>
  <si>
    <t>الوحدة رقم 8 الي البحر عند الساعة 22:00مساء بسبب ارتفاع المؤصلية.</t>
  </si>
  <si>
    <t>.الوحدة رقم 1 علي خط الانتاج الي خزانات 11/12 عند الساعة 04:10 صباحا</t>
  </si>
  <si>
    <t>حماتة محمد</t>
  </si>
  <si>
    <t>.تم فتح المياه المحلاة من المنطقة الثانية الي المنطقة الاولي عند الساعة 22:00 مساء بمعدل 25 م3/ساعة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</si>
</sst>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45" zoomScaleNormal="145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46027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440</v>
      </c>
      <c r="D11" s="25">
        <v>20</v>
      </c>
      <c r="E11" s="25">
        <v>11</v>
      </c>
      <c r="F11" s="25">
        <v>11</v>
      </c>
      <c r="G11" s="25">
        <v>2</v>
      </c>
      <c r="H11" s="11">
        <v>8</v>
      </c>
      <c r="I11" s="8">
        <f>J11*(24-M11)</f>
        <v>1560</v>
      </c>
      <c r="J11" s="25">
        <v>65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6512</v>
      </c>
      <c r="C16" s="11">
        <f>C9+C10+C11</f>
        <v>1256</v>
      </c>
      <c r="D16" s="11">
        <f>SUM(D9:D15)</f>
        <v>54</v>
      </c>
      <c r="E16" s="25">
        <v>6.5</v>
      </c>
      <c r="F16" s="11">
        <f>SUM(F12,F10,F11)</f>
        <v>22</v>
      </c>
      <c r="G16" s="11">
        <f>SUM(G9:G11)</f>
        <v>2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6.2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6512</v>
      </c>
      <c r="C21" s="25">
        <v>0</v>
      </c>
      <c r="D21" s="25">
        <v>20</v>
      </c>
      <c r="E21" s="25">
        <v>0</v>
      </c>
      <c r="F21" s="25">
        <v>1306</v>
      </c>
      <c r="G21" s="90">
        <v>200</v>
      </c>
      <c r="H21" s="90"/>
      <c r="I21" s="25"/>
      <c r="J21" s="25">
        <v>0</v>
      </c>
      <c r="K21" s="25">
        <v>0</v>
      </c>
      <c r="L21" s="95">
        <v>4986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0.61</v>
      </c>
      <c r="G22" s="94"/>
      <c r="H22" s="93"/>
      <c r="I22" s="49"/>
      <c r="J22" s="50"/>
      <c r="K22" s="50"/>
      <c r="L22" s="37">
        <v>0.76</v>
      </c>
      <c r="M22" s="37">
        <v>0.77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36</v>
      </c>
      <c r="L27" s="30">
        <v>11</v>
      </c>
      <c r="M27" s="59">
        <v>37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79</v>
      </c>
      <c r="J28" s="91"/>
      <c r="K28" s="31">
        <v>32</v>
      </c>
      <c r="L28" s="31">
        <v>0</v>
      </c>
      <c r="M28" s="62">
        <v>47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7889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5789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0.96</v>
      </c>
      <c r="I33" s="89"/>
      <c r="J33" s="88">
        <v>0.81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81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77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 t="s">
        <v>79</v>
      </c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80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2026-01-06T16:27:46Z</dcterms:modified>
  <cp:contentStatus/>
</cp:coreProperties>
</file>