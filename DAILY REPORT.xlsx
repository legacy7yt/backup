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<sst xmlns="http://schemas.openxmlformats.org/spreadsheetml/2006/main" count="103" uniqueCount="84">
  <si>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</si>
  <si>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</si>
  <si>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</si>
  <si>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</si>
  <si>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</si>
  <si>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</si>
  <si>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</si>
  <si>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</si>
  <si>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</si>
  <si>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</si>
  <si>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</si>
  <si>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</si>
  <si>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</si>
  <si>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</si>
  <si>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</si>
  <si>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</si>
  <si>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</si>
  <si>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</si>
  <si>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</si>
  <si>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</si>
  <si>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</si>
  <si>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</si>
  <si>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</si>
  <si>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</si>
  <si>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</si>
  <si>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</si>
  <si>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</si>
  <si>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</si>
  <si>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</si>
  <si>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</si>
  <si>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</si>
  <si>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</si>
  <si>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</si>
  <si>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</si>
  <si>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</si>
  <si>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</si>
  <si>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</si>
  <si>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</si>
  <si>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</si>
  <si>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</si>
  <si>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</si>
  <si>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</si>
  <si>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</si>
  <si>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</si>
  <si>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</si>
  <si>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</si>
  <si>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</si>
  <si>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</si>
  <si>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</si>
  <si>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</si>
  <si>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</si>
  <si>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</si>
  <si>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</si>
  <si>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</si>
  <si>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</si>
  <si>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</si>
  <si>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</si>
  <si>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</si>
  <si>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</si>
  <si>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</si>
  <si>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</si>
  <si>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</si>
  <si>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</si>
  <si>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</si>
  <si>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</si>
  <si>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</si>
  <si>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</si>
  <si>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</si>
  <si>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</si>
  <si>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</si>
  <si>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</si>
  <si>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</si>
  <si>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</si>
  <si>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</si>
  <si>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</si>
  <si>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</si>
  <si>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</si>
  <si>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.في انتظار وصول باقي المواد للتنفيذ اعمال العمرة السنوية</t>
  </si>
  <si>
    <t>علي خط الانتاج الي الخزانات 11/12</t>
  </si>
  <si>
    <t xml:space="preserve">المياه المحلاه المرسلة من تحلية اليوريا الي خزانات 11/12 مستمرة بمعدل50طن/الساعة . </t>
  </si>
  <si>
    <t>تحت اعمال الصيانة</t>
  </si>
  <si>
    <t>الوحدة رقم 4 تم ايقافها عند07:50 ودخلت بسبب نقص في البخارمن المصدر معمل الغاز وتم تشغيلها عند ساعة 08:15ودخلت علي خط الانتاج عند ساعة12:50 الي الخزانات 11/12.</t>
  </si>
  <si>
    <t>27/11/2025</t>
  </si>
  <si>
    <t>4..6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</si>
</sst>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" zoomScale="120" zoomScaleNormal="120" zoomScalePageLayoutView="120" workbookViewId="0">
      <selection activeCell="B5" sqref="B5:C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82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5.0999999999999996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680</v>
      </c>
      <c r="D10" s="25">
        <v>34</v>
      </c>
      <c r="E10" s="25">
        <v>2.6</v>
      </c>
      <c r="F10" s="25">
        <v>11</v>
      </c>
      <c r="G10" s="25">
        <v>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320</v>
      </c>
      <c r="D11" s="25">
        <v>20</v>
      </c>
      <c r="E11" s="25" t="s">
        <v>83</v>
      </c>
      <c r="F11" s="25">
        <v>11</v>
      </c>
      <c r="G11" s="25">
        <v>8</v>
      </c>
      <c r="H11" s="11">
        <v>8</v>
      </c>
      <c r="I11" s="8">
        <f>J11*(24-M11)</f>
        <v>1560</v>
      </c>
      <c r="J11" s="25">
        <v>65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1219</v>
      </c>
      <c r="J12" s="25">
        <v>53</v>
      </c>
      <c r="K12" s="25">
        <v>6.7</v>
      </c>
      <c r="L12" s="25">
        <v>20</v>
      </c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5075</v>
      </c>
      <c r="C16" s="11">
        <f>C9+C10+C11</f>
        <v>1000</v>
      </c>
      <c r="D16" s="11">
        <f>SUM(D9:D15)</f>
        <v>54</v>
      </c>
      <c r="E16" s="25">
        <v>3.6</v>
      </c>
      <c r="F16" s="11">
        <f>SUM(F12,F10,F11)</f>
        <v>22</v>
      </c>
      <c r="G16" s="11">
        <f>SUM(G9:G11)</f>
        <v>12</v>
      </c>
      <c r="H16" s="13" t="s">
        <v>14</v>
      </c>
      <c r="I16" s="11">
        <f>I9+I10+I11+I12+I13+I14+I15</f>
        <v>4075</v>
      </c>
      <c r="J16" s="11">
        <f>J9+J10+J11+J12+J13+J14+J15</f>
        <v>172</v>
      </c>
      <c r="K16" s="25">
        <v>6.6</v>
      </c>
      <c r="L16" s="11">
        <f>SUM(L9:L15)</f>
        <v>60</v>
      </c>
      <c r="M16" s="11">
        <f>SUM(M9:M15)</f>
        <v>73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5075</v>
      </c>
      <c r="C21" s="25">
        <v>0</v>
      </c>
      <c r="D21" s="25">
        <v>20</v>
      </c>
      <c r="E21" s="25">
        <v>80</v>
      </c>
      <c r="F21" s="25">
        <v>920</v>
      </c>
      <c r="G21" s="78">
        <v>159</v>
      </c>
      <c r="H21" s="78"/>
      <c r="I21" s="25"/>
      <c r="J21" s="25">
        <v>0</v>
      </c>
      <c r="K21" s="25">
        <v>0</v>
      </c>
      <c r="L21" s="92">
        <v>3896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0.79</v>
      </c>
      <c r="F22" s="56">
        <v>0.84</v>
      </c>
      <c r="G22" s="90"/>
      <c r="H22" s="91"/>
      <c r="I22" s="49"/>
      <c r="J22" s="50"/>
      <c r="K22" s="50"/>
      <c r="L22" s="37">
        <v>0.95</v>
      </c>
      <c r="M22" s="37">
        <v>0.94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23</v>
      </c>
      <c r="L27" s="30">
        <v>0</v>
      </c>
      <c r="M27" s="59">
        <v>41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20</v>
      </c>
      <c r="E28" s="95"/>
      <c r="F28" s="31">
        <v>0</v>
      </c>
      <c r="G28" s="96">
        <v>20</v>
      </c>
      <c r="H28" s="96"/>
      <c r="I28" s="95">
        <f>K28+L28+M28</f>
        <v>60</v>
      </c>
      <c r="J28" s="95"/>
      <c r="K28" s="31">
        <v>24</v>
      </c>
      <c r="L28" s="31">
        <v>0</v>
      </c>
      <c r="M28" s="62">
        <v>36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7682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5582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71</v>
      </c>
      <c r="F33" s="98">
        <v>0</v>
      </c>
      <c r="G33" s="99"/>
      <c r="H33" s="98">
        <v>0.77</v>
      </c>
      <c r="I33" s="99"/>
      <c r="J33" s="98">
        <v>0.88</v>
      </c>
      <c r="K33" s="99"/>
      <c r="L33" s="98">
        <v>0.88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23600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1500</v>
      </c>
      <c r="J37" s="25">
        <v>500</v>
      </c>
      <c r="K37" s="25">
        <v>0</v>
      </c>
      <c r="L37" s="25">
        <v>600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1560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77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80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79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2025-11-27T22:46:39Z</dcterms:modified>
  <cp:contentStatus/>
</cp:coreProperties>
</file>