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<sst xmlns="http://schemas.openxmlformats.org/spreadsheetml/2006/main" count="101" uniqueCount="82">
  <si>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</si>
  <si>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</si>
  <si>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</si>
  <si>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</si>
  <si>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</si>
  <si>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</si>
  <si>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</si>
  <si>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</si>
  <si>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</si>
  <si>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</si>
  <si>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</si>
  <si>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</si>
  <si>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</si>
  <si>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</si>
  <si>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</si>
  <si>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</si>
  <si>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</si>
  <si>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</si>
  <si>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</si>
  <si>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</si>
  <si>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</si>
  <si>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</si>
  <si>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</si>
  <si>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</si>
  <si>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</si>
  <si>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</si>
  <si>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</si>
  <si>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</si>
  <si>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</si>
  <si>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</si>
  <si>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</si>
  <si>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</si>
  <si>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</si>
  <si>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</si>
  <si>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</si>
  <si>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</si>
  <si>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</si>
  <si>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</si>
  <si>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</si>
  <si>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</si>
  <si>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</si>
  <si>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</si>
  <si>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</si>
  <si>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</si>
  <si>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</si>
  <si>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</si>
  <si>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</si>
  <si>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</si>
  <si>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</si>
  <si>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</si>
  <si>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</si>
  <si>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</si>
  <si>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</si>
  <si>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</si>
  <si>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</si>
  <si>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</si>
  <si>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</si>
  <si>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</si>
  <si>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</si>
  <si>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</si>
  <si>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</si>
  <si>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</si>
  <si>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</si>
  <si>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</si>
  <si>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</si>
  <si>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</si>
  <si>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</si>
  <si>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</si>
  <si>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</si>
  <si>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</si>
  <si>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</si>
  <si>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</si>
  <si>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</si>
  <si>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 </t>
  </si>
  <si>
    <t xml:space="preserve">أحمد قمو </t>
  </si>
  <si>
    <t xml:space="preserve"> على خط الانتاج إلى خزانات 11/12 .</t>
  </si>
  <si>
    <t>على خط الانتاج إلى خزانات 11/12 .</t>
  </si>
  <si>
    <t xml:space="preserve"> على خط الانتاج إلى خزان 1360 .</t>
  </si>
  <si>
    <t xml:space="preserve"> المياه المحلاة المرسلة من خزانات تحلية اليوريا الي خزانات 11/12 مستمرة بمعدل 70m³/hr .   </t>
  </si>
  <si>
    <t>علي خط الانتاج الي الخزانات 11/12</t>
  </si>
  <si>
    <t xml:space="preserve"> تحت اعمال الصيانة</t>
  </si>
  <si>
    <t xml:space="preserve"> كمية البخار المرسلة من مصنع اليوريا إلى محطة التحليه الثانيه مستمرة بمعدل 8 طن / ساعه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</si>
</sst>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" zoomScale="130" zoomScaleNormal="130" zoomScalePageLayoutView="120" workbookViewId="0">
      <selection activeCell="B54" sqref="B54:M54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46126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7.5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2.4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1.8</v>
      </c>
      <c r="F11" s="25">
        <v>11</v>
      </c>
      <c r="G11" s="25">
        <v>0</v>
      </c>
      <c r="H11" s="11">
        <v>8</v>
      </c>
      <c r="I11" s="8">
        <f>J11*(24-M11)</f>
        <v>1368</v>
      </c>
      <c r="J11" s="25">
        <v>57</v>
      </c>
      <c r="K11" s="25">
        <v>13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7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5352</v>
      </c>
      <c r="C16" s="11">
        <f>C9+C10+C11</f>
        <v>1440</v>
      </c>
      <c r="D16" s="11">
        <f>SUM(D9:D15)</f>
        <v>60</v>
      </c>
      <c r="E16" s="25">
        <v>2.1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3912</v>
      </c>
      <c r="J16" s="11">
        <f>J9+J10+J11+J12+J13+J14+J15</f>
        <v>163</v>
      </c>
      <c r="K16" s="25">
        <v>9.1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5352</v>
      </c>
      <c r="C21" s="25">
        <v>0</v>
      </c>
      <c r="D21" s="25">
        <v>20</v>
      </c>
      <c r="E21" s="25">
        <v>0</v>
      </c>
      <c r="F21" s="25">
        <v>1440</v>
      </c>
      <c r="G21" s="90"/>
      <c r="H21" s="90"/>
      <c r="I21" s="25"/>
      <c r="J21" s="25">
        <v>0</v>
      </c>
      <c r="K21" s="25">
        <v>0</v>
      </c>
      <c r="L21" s="95">
        <v>3892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0.3</v>
      </c>
      <c r="G22" s="94"/>
      <c r="H22" s="93"/>
      <c r="I22" s="49"/>
      <c r="J22" s="50"/>
      <c r="K22" s="50"/>
      <c r="L22" s="37">
        <v>0.74</v>
      </c>
      <c r="M22" s="37">
        <v>0.74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35</v>
      </c>
      <c r="L27" s="30">
        <v>8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86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65</v>
      </c>
      <c r="J28" s="91"/>
      <c r="K28" s="31">
        <v>54</v>
      </c>
      <c r="L28" s="31">
        <v>0</v>
      </c>
      <c r="M28" s="62">
        <v>11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5966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3866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0.78</v>
      </c>
      <c r="G33" s="89"/>
      <c r="H33" s="88">
        <v>0.66</v>
      </c>
      <c r="I33" s="89"/>
      <c r="J33" s="88">
        <v>0.65</v>
      </c>
      <c r="K33" s="89"/>
      <c r="L33" s="88">
        <v>0.87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27400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100</v>
      </c>
      <c r="L37" s="25">
        <v>200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1580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77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77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75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79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76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80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78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81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73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2026-04-14T22:44:47Z</dcterms:modified>
  <cp:contentStatus/>
</cp:coreProperties>
</file>