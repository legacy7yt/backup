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<sst xmlns="http://schemas.openxmlformats.org/spreadsheetml/2006/main" count="101" uniqueCount="82">
  <si>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</si>
  <si>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</si>
  <si>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</si>
  <si>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</si>
  <si>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</si>
  <si>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</si>
  <si>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</si>
  <si>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</si>
  <si>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</si>
  <si>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</si>
  <si>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</si>
  <si>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</si>
  <si>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</si>
  <si>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</si>
  <si>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</si>
  <si>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</si>
  <si>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</si>
  <si>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</si>
  <si>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</si>
  <si>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</si>
  <si>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</si>
  <si>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</si>
  <si>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</si>
  <si>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</si>
  <si>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</si>
  <si>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</si>
  <si>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</si>
  <si>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</si>
  <si>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</si>
  <si>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</si>
  <si>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</si>
  <si>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</si>
  <si>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</si>
  <si>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</si>
  <si>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</si>
  <si>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</si>
  <si>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</si>
  <si>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</si>
  <si>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</si>
  <si>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</si>
  <si>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</si>
  <si>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</si>
  <si>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</si>
  <si>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</si>
  <si>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</si>
  <si>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</si>
  <si>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</si>
  <si>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</si>
  <si>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</si>
  <si>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</si>
  <si>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</si>
  <si>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</si>
  <si>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</si>
  <si>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</si>
  <si>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</si>
  <si>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</si>
  <si>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</si>
  <si>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</si>
  <si>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</si>
  <si>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</si>
  <si>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</si>
  <si>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</si>
  <si>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</si>
  <si>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</si>
  <si>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</si>
  <si>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</si>
  <si>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</si>
  <si>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</si>
  <si>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</si>
  <si>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</si>
  <si>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</si>
  <si>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</si>
  <si>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</si>
  <si>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الي خزانات 11/12 .</t>
  </si>
  <si>
    <t>وليد محمد</t>
  </si>
  <si>
    <t xml:space="preserve"> على خط الانتاج الي خزان 1360 .</t>
  </si>
  <si>
    <t>على خط الانتاج الي خزانات 11/12 .</t>
  </si>
  <si>
    <t xml:space="preserve"> تحت عمليات الصيانه .</t>
  </si>
  <si>
    <t xml:space="preserve"> المياه المحلاة المرسلة من خزانات مصنع اليوريا الي خزانات 11/12 مستمرة بمعدل 35m³/hr .   </t>
  </si>
  <si>
    <t xml:space="preserve"> كمية البخار المرسلة من مصنع اليوريا الي التحليه الثانيه مستمرة بمعدل 10 طن / ساعه .</t>
  </si>
  <si>
    <t xml:space="preserve">  تم تشغيلها عند الساعه 12:00 , ولا تزال خارج خط الانتاج  بسبب ارتفاع  الموصلية .</t>
  </si>
  <si>
    <t xml:space="preserve">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</si>
</sst>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40" zoomScale="130" zoomScaleNormal="130" zoomScalePageLayoutView="120" workbookViewId="0">
      <selection activeCell="B53" sqref="B53:M5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46120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1248</v>
      </c>
      <c r="J9" s="23">
        <v>52</v>
      </c>
      <c r="K9" s="24">
        <v>6.8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0</v>
      </c>
      <c r="D11" s="25">
        <v>0</v>
      </c>
      <c r="E11" s="25">
        <v>18</v>
      </c>
      <c r="F11" s="25">
        <v>11</v>
      </c>
      <c r="G11" s="25">
        <v>24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9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/>
      <c r="K13" s="25"/>
      <c r="L13" s="25"/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4896</v>
      </c>
      <c r="C16" s="11">
        <f>C9+C10+C11</f>
        <v>816</v>
      </c>
      <c r="D16" s="11">
        <f>SUM(D9:D15)</f>
        <v>34</v>
      </c>
      <c r="E16" s="25"/>
      <c r="F16" s="11">
        <f>SUM(F12,F10,F11)</f>
        <v>22</v>
      </c>
      <c r="G16" s="11">
        <f>SUM(G9:G11)</f>
        <v>24</v>
      </c>
      <c r="H16" s="13" t="s">
        <v>14</v>
      </c>
      <c r="I16" s="11">
        <f>I9+I10+I11+I12+I13+I14+I15</f>
        <v>4080</v>
      </c>
      <c r="J16" s="11">
        <f>J9+J10+J11+J12+J13+J14+J15</f>
        <v>170</v>
      </c>
      <c r="K16" s="25">
        <v>6.9</v>
      </c>
      <c r="L16" s="11">
        <f>SUM(L9:L15)</f>
        <v>60</v>
      </c>
      <c r="M16" s="11">
        <f>SUM(M9:M15)</f>
        <v>96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4896</v>
      </c>
      <c r="C21" s="25">
        <v>0</v>
      </c>
      <c r="D21" s="25">
        <v>20</v>
      </c>
      <c r="E21" s="25">
        <v>0</v>
      </c>
      <c r="F21" s="25">
        <v>816</v>
      </c>
      <c r="G21" s="78">
        <v>0</v>
      </c>
      <c r="H21" s="78"/>
      <c r="I21" s="25">
        <v>300</v>
      </c>
      <c r="J21" s="25">
        <v>0</v>
      </c>
      <c r="K21" s="25">
        <v>0</v>
      </c>
      <c r="L21" s="91">
        <v>4060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0.78</v>
      </c>
      <c r="F22" s="56">
        <v>0.28000000000000003</v>
      </c>
      <c r="G22" s="89"/>
      <c r="H22" s="90"/>
      <c r="I22" s="49"/>
      <c r="J22" s="50"/>
      <c r="K22" s="50"/>
      <c r="L22" s="37">
        <v>0.96</v>
      </c>
      <c r="M22" s="37">
        <v>0.96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92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70</v>
      </c>
      <c r="J27" s="94"/>
      <c r="K27" s="30">
        <v>29</v>
      </c>
      <c r="L27" s="30">
        <v>10</v>
      </c>
      <c r="M27" s="59">
        <v>31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85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65</v>
      </c>
      <c r="J28" s="94"/>
      <c r="K28" s="31">
        <v>57</v>
      </c>
      <c r="L28" s="31">
        <v>0</v>
      </c>
      <c r="M28" s="62">
        <v>8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6121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4021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0.78</v>
      </c>
      <c r="G33" s="98"/>
      <c r="H33" s="97">
        <v>0.92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27200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990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75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73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78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/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81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74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2026-04-08T23:49:29Z</dcterms:modified>
  <cp:contentStatus/>
</cp:coreProperties>
</file>