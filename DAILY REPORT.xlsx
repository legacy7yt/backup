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<sst xmlns="http://schemas.openxmlformats.org/spreadsheetml/2006/main" count="101" uniqueCount="82">
  <si>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</si>
  <si>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</si>
  <si>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</si>
  <si>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</si>
  <si>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</si>
  <si>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</si>
  <si>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</si>
  <si>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</si>
  <si>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</si>
  <si>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</si>
  <si>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</si>
  <si>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</si>
  <si>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</si>
  <si>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</si>
  <si>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</si>
  <si>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</si>
  <si>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</si>
  <si>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</si>
  <si>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</si>
  <si>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</si>
  <si>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</si>
  <si>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</si>
  <si>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</si>
  <si>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</si>
  <si>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</si>
  <si>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</si>
  <si>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</si>
  <si>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</si>
  <si>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</si>
  <si>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</si>
  <si>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</si>
  <si>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</si>
  <si>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</si>
  <si>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</si>
  <si>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</si>
  <si>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</si>
  <si>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</si>
  <si>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</si>
  <si>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</si>
  <si>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</si>
  <si>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</si>
  <si>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</si>
  <si>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</si>
  <si>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</si>
  <si>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</si>
  <si>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</si>
  <si>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</si>
  <si>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</si>
  <si>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</si>
  <si>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</si>
  <si>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</si>
  <si>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</si>
  <si>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</si>
  <si>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</si>
  <si>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</si>
  <si>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</si>
  <si>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</si>
  <si>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</si>
  <si>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</si>
  <si>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</si>
  <si>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</si>
  <si>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</si>
  <si>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</si>
  <si>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</si>
  <si>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</si>
  <si>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</si>
  <si>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</si>
  <si>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</si>
  <si>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</si>
  <si>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</si>
  <si>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</si>
  <si>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</si>
  <si>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</si>
  <si>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</si>
  <si>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</si>
  <si>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</si>
  <si>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</si>
  <si>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</si>
  <si>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 </t>
  </si>
  <si>
    <t xml:space="preserve"> المياه المحلاة المرسلة من خزانات تحلية اليوريا الي خزانات 11/12 مستمرة بمعدل 40m³/hr .   </t>
  </si>
  <si>
    <t xml:space="preserve"> كمية البخار المرسلة من مصنع اليوريا الي التحليه الثانيه مستمرة بمعدل 11 طن / ساعه .</t>
  </si>
  <si>
    <t xml:space="preserve"> على خط الانتاج الي خزانات السكنيه ( DT-1 , DT-2 ) منذ الساعه 13:30, بسبب ارتفاع الموصليه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</si>
</sst>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</v>
      </c>
      <c r="F11" s="25">
        <v>11</v>
      </c>
      <c r="G11" s="25">
        <v>0</v>
      </c>
      <c r="H11" s="11">
        <v>8</v>
      </c>
      <c r="I11" s="8">
        <f>J11*(24-M11)</f>
        <v>63</v>
      </c>
      <c r="J11" s="25">
        <v>63</v>
      </c>
      <c r="K11" s="25">
        <v>0</v>
      </c>
      <c r="L11" s="25">
        <v>0</v>
      </c>
      <c r="M11" s="25">
        <v>23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3975</v>
      </c>
      <c r="C16" s="11">
        <f>C9+C10+C11</f>
        <v>1440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2535</v>
      </c>
      <c r="J16" s="11">
        <f>J9+J10+J11+J12+J13+J14+J15</f>
        <v>166</v>
      </c>
      <c r="K16" s="25">
        <v>9.3000000000000007</v>
      </c>
      <c r="L16" s="11">
        <f>SUM(L9:L15)</f>
        <v>40</v>
      </c>
      <c r="M16" s="11">
        <f>SUM(M9:M15)</f>
        <v>119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3975</v>
      </c>
      <c r="C21" s="25">
        <v>0</v>
      </c>
      <c r="D21" s="25">
        <v>20</v>
      </c>
      <c r="E21" s="25">
        <v>0</v>
      </c>
      <c r="F21" s="25">
        <v>1440</v>
      </c>
      <c r="G21" s="78">
        <v>113</v>
      </c>
      <c r="H21" s="78"/>
      <c r="I21" s="25">
        <v>600</v>
      </c>
      <c r="J21" s="25">
        <v>0</v>
      </c>
      <c r="K21" s="25">
        <v>0</v>
      </c>
      <c r="L21" s="91">
        <v>2402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0.46</v>
      </c>
      <c r="G22" s="89"/>
      <c r="H22" s="90"/>
      <c r="I22" s="49"/>
      <c r="J22" s="50"/>
      <c r="K22" s="50"/>
      <c r="L22" s="37">
        <v>0.8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72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50</v>
      </c>
      <c r="J27" s="94"/>
      <c r="K27" s="30">
        <v>19</v>
      </c>
      <c r="L27" s="30">
        <v>8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65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45</v>
      </c>
      <c r="J28" s="94"/>
      <c r="K28" s="31">
        <v>30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5733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3633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0.93</v>
      </c>
      <c r="G33" s="98"/>
      <c r="H33" s="97">
        <v>0.78</v>
      </c>
      <c r="I33" s="98"/>
      <c r="J33" s="97">
        <v>0.66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81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2026-04-11T23:09:34Z</dcterms:modified>
  <cp:contentStatus/>
</cp:coreProperties>
</file>