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<sst xmlns="http://schemas.openxmlformats.org/spreadsheetml/2006/main" count="102" uniqueCount="84">
  <si>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</si>
  <si>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</si>
  <si>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</si>
  <si>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</si>
  <si>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</si>
  <si>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</si>
  <si>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</si>
  <si>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</si>
  <si>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</si>
  <si>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</si>
  <si>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</si>
  <si>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</si>
  <si>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</si>
  <si>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</si>
  <si>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</si>
  <si>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</si>
  <si>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</si>
  <si>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</si>
  <si>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</si>
  <si>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</si>
  <si>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</si>
  <si>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</si>
  <si>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</si>
  <si>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</si>
  <si>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</si>
  <si>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</si>
  <si>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</si>
  <si>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</si>
  <si>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</si>
  <si>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</si>
  <si>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</si>
  <si>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</si>
  <si>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</si>
  <si>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</si>
  <si>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</si>
  <si>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</si>
  <si>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</si>
  <si>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</si>
  <si>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</si>
  <si>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</si>
  <si>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</si>
  <si>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</si>
  <si>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</si>
  <si>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</si>
  <si>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</si>
  <si>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</si>
  <si>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</si>
  <si>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</si>
  <si>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</si>
  <si>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</si>
  <si>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</si>
  <si>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</si>
  <si>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</si>
  <si>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</si>
  <si>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</si>
  <si>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</si>
  <si>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</si>
  <si>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</si>
  <si>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</si>
  <si>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</si>
  <si>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</si>
  <si>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</si>
  <si>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</si>
  <si>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</si>
  <si>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</si>
  <si>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</si>
  <si>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</si>
  <si>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</si>
  <si>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</si>
  <si>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</si>
  <si>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</si>
  <si>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</si>
  <si>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</si>
  <si>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</si>
  <si>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</si>
  <si>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إيقافها عند الساعه 09:00AM لغرض إجراء الصيانه .</t>
  </si>
  <si>
    <t xml:space="preserve"> </t>
  </si>
  <si>
    <t xml:space="preserve"> كمية البخار المرسلة من مصنع اليوريا الي التحليه الثانيه مستمرة بمعدل 11 طن / ساعه .</t>
  </si>
  <si>
    <t xml:space="preserve"> دخلت على خط الانتاج الي خزانات السكنيه عند الساعه 01:30 , وعند الساعه 05:50 دخلت على خزانات 11/ 12.</t>
  </si>
  <si>
    <t>تم تشغيلها عند الساعه 12:40 ودخلت على خط خزانات السكنيه عند الساعه15:05 والي خزانات11/12عند الساعه 20:30 .</t>
  </si>
  <si>
    <t xml:space="preserve"> المياه المحلاة المرسلة من خزانات مصنع اليوريا الي خزانات 11/12 مستمرة بمعدل 50m³/hr .   </t>
  </si>
  <si>
    <t xml:space="preserve"> تم ارسال المياه المحلاه من خزانات 11/12 الي خزان 1360, منذ الساعه 21:00 وحتى الساعه22:30 , بمعدل 30m³/hr .</t>
  </si>
  <si>
    <t xml:space="preserve"> على خط الانتاج الي خزان 1360 .</t>
  </si>
  <si>
    <t xml:space="preserve">  تم تشغيلها steam in عند الساعه 12:00 , ولا تزال خارج خط الانتاج 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</si>
</sst>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1" zoomScale="130" zoomScaleNormal="130" zoomScalePageLayoutView="120" workbookViewId="0">
      <selection activeCell="B42" sqref="B42:M4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46120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6.8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>
        <v>0</v>
      </c>
      <c r="E11" s="25">
        <v>18</v>
      </c>
      <c r="F11" s="25">
        <v>11</v>
      </c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9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4896</v>
      </c>
      <c r="C16" s="11">
        <f>C9+C10+C11</f>
        <v>816</v>
      </c>
      <c r="D16" s="11">
        <f>SUM(D9:D15)</f>
        <v>34</v>
      </c>
      <c r="E16" s="25"/>
      <c r="F16" s="11">
        <f>SUM(F12,F10,F11)</f>
        <v>22</v>
      </c>
      <c r="G16" s="11">
        <f>SUM(G9:G11)</f>
        <v>24</v>
      </c>
      <c r="H16" s="13" t="s">
        <v>14</v>
      </c>
      <c r="I16" s="11">
        <f>I9+I10+I11+I12+I13+I14+I15</f>
        <v>4080</v>
      </c>
      <c r="J16" s="11">
        <f>J9+J10+J11+J12+J13+J14+J15</f>
        <v>170</v>
      </c>
      <c r="K16" s="25">
        <v>6.9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4896</v>
      </c>
      <c r="C21" s="25">
        <v>0</v>
      </c>
      <c r="D21" s="25">
        <v>20</v>
      </c>
      <c r="E21" s="25">
        <v>0</v>
      </c>
      <c r="F21" s="25">
        <v>816</v>
      </c>
      <c r="G21" s="90">
        <v>0</v>
      </c>
      <c r="H21" s="90"/>
      <c r="I21" s="25">
        <v>300</v>
      </c>
      <c r="J21" s="25">
        <v>0</v>
      </c>
      <c r="K21" s="25">
        <v>0</v>
      </c>
      <c r="L21" s="95">
        <v>4060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0.78</v>
      </c>
      <c r="F22" s="56">
        <v>0.28000000000000003</v>
      </c>
      <c r="G22" s="94"/>
      <c r="H22" s="93"/>
      <c r="I22" s="49"/>
      <c r="J22" s="50"/>
      <c r="K22" s="50"/>
      <c r="L22" s="37">
        <v>0.96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29</v>
      </c>
      <c r="L27" s="30">
        <v>10</v>
      </c>
      <c r="M27" s="59">
        <v>31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65</v>
      </c>
      <c r="J28" s="91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6121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4021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0.78</v>
      </c>
      <c r="G33" s="89"/>
      <c r="H33" s="88">
        <v>0.92</v>
      </c>
      <c r="I33" s="89"/>
      <c r="J33" s="88">
        <v>0.71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990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82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78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79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80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81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76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2026-04-08T23:27:45Z</dcterms:modified>
  <cp:contentStatus/>
</cp:coreProperties>
</file>