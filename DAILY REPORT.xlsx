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C:\Users\HP\Desktop\temp\backup\"/>
    </mc:Choice>
  </mc:AlternateContent>
  <xr:revisionPtr revIDLastSave="0" documentId="13_ncr:1_{500360F4-168D-42FF-96BF-0A26E53B456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I27" i="1"/>
  <c r="I9" i="1" l="1"/>
  <c r="B21" i="1" l="1"/>
  <c r="D28" i="1" l="1"/>
  <c r="I11" i="1" l="1"/>
  <c r="I12" i="1" l="1"/>
  <c r="I13" i="1"/>
  <c r="I16" i="1" l="1"/>
  <c r="J16" i="1"/>
  <c r="D27" i="1" l="1"/>
  <c r="C11" i="1" l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<sst xmlns="http://schemas.openxmlformats.org/spreadsheetml/2006/main" count="101" uniqueCount="81">
  <si>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</si>
  <si>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</si>
  <si>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</si>
  <si>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</si>
  <si>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</si>
  <si>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</si>
  <si>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</si>
  <si>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</si>
  <si>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</si>
  <si>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</si>
  <si>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</si>
  <si>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</si>
  <si>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</si>
  <si>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</si>
  <si>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</si>
  <si>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</si>
  <si>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</si>
  <si>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</si>
  <si>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</si>
  <si>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</si>
  <si>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</si>
  <si>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</si>
  <si>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</si>
  <si>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</si>
  <si>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</si>
  <si>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</si>
  <si>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</si>
  <si>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</si>
  <si>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</si>
  <si>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</si>
  <si>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</si>
  <si>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</si>
  <si>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</si>
  <si>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</si>
  <si>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</si>
  <si>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</si>
  <si>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</si>
  <si>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</si>
  <si>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</si>
  <si>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</si>
  <si>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</si>
  <si>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</si>
  <si>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</si>
  <si>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</si>
  <si>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</si>
  <si>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</si>
  <si>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</si>
  <si>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</si>
  <si>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</si>
  <si>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</si>
  <si>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</si>
  <si>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</si>
  <si>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</si>
  <si>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</si>
  <si>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</si>
  <si>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</si>
  <si>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</si>
  <si>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</si>
  <si>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</si>
  <si>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</si>
  <si>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</si>
  <si>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</si>
  <si>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</si>
  <si>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</si>
  <si>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</si>
  <si>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</si>
  <si>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</si>
  <si>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</si>
  <si>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</si>
  <si>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</si>
  <si>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</si>
  <si>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</si>
  <si>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على خط الإنتاج إلى خزان 1360.</t>
  </si>
  <si>
    <t>علي خط الإنتاج الي خزانات 11/12  .</t>
  </si>
  <si>
    <t xml:space="preserve">علي خط الإنتاج الي خزانات 11/12 . </t>
  </si>
  <si>
    <t>محمد بالخير</t>
  </si>
  <si>
    <t xml:space="preserve"> </t>
  </si>
  <si>
    <t>على خط الإنتاج إلى خزان الي  1360.</t>
  </si>
  <si>
    <t>علي خط الإنتاج الي خزانات 11/12   .</t>
  </si>
  <si>
    <t>27/10/2025</t>
  </si>
  <si>
    <t>الوحدة رقم 8 تم تحويلها الي الخزان السكنية 200 عند ساعة 17:00 بسب ارتفاع المنسوب وعند ساعة 00:00 الي الخزانات 12/11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</si>
</sst>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2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0" fillId="2" borderId="6" xfId="0" applyFill="1" applyBorder="1"/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/>
    <xf numFmtId="0" fontId="0" fillId="0" borderId="12" xfId="0" applyBorder="1"/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/>
    <xf numFmtId="0" fontId="3" fillId="5" borderId="6" xfId="0" applyFont="1" applyFill="1" applyBorder="1"/>
    <xf numFmtId="0" fontId="3" fillId="2" borderId="8" xfId="0" applyFont="1" applyFill="1" applyBorder="1"/>
    <xf numFmtId="0" fontId="3" fillId="0" borderId="6" xfId="0" applyFont="1" applyBorder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Border="1" applyAlignment="1" applyProtection="1">
      <alignment horizontal="center" vertical="center"/>
      <protection locked="0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/>
    </xf>
    <xf numFmtId="0" fontId="0" fillId="0" borderId="0" xfId="0" applyAlignment="1">
      <alignment horizontal="left" indent="2"/>
    </xf>
    <xf numFmtId="0" fontId="1" fillId="0" borderId="0" xfId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3" fillId="0" borderId="17" xfId="0" applyFont="1" applyBorder="1" applyAlignment="1">
      <alignment horizontal="center" readingOrder="2"/>
    </xf>
    <xf numFmtId="0" fontId="3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8" fillId="0" borderId="18" xfId="0" applyFont="1" applyBorder="1"/>
    <xf numFmtId="0" fontId="0" fillId="0" borderId="19" xfId="0" applyBorder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Font="1" applyBorder="1" applyAlignment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Border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>
      <alignment horizontal="center" vertical="center"/>
    </xf>
    <xf numFmtId="20" fontId="10" fillId="0" borderId="21" xfId="0" applyNumberFormat="1" applyFont="1" applyBorder="1" applyAlignment="1">
      <alignment horizontal="center" vertical="center"/>
    </xf>
    <xf numFmtId="20" fontId="10" fillId="0" borderId="22" xfId="0" applyNumberFormat="1" applyFont="1" applyBorder="1" applyAlignment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9" fontId="3" fillId="0" borderId="9" xfId="0" applyNumberFormat="1" applyFont="1" applyBorder="1" applyAlignment="1" applyProtection="1">
      <alignment horizontal="center" vertical="center"/>
      <protection locked="0"/>
    </xf>
    <xf numFmtId="9" fontId="3" fillId="0" borderId="10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>
      <alignment horizontal="center"/>
    </xf>
    <xf numFmtId="0" fontId="3" fillId="0" borderId="6" xfId="0" applyFont="1" applyBorder="1" applyAlignment="1" applyProtection="1">
      <alignment horizontal="center"/>
      <protection locked="0"/>
    </xf>
    <xf numFmtId="0" fontId="3" fillId="3" borderId="6" xfId="0" applyFont="1" applyFill="1" applyBorder="1" applyAlignment="1">
      <alignment horizontal="center" vertical="center"/>
    </xf>
    <xf numFmtId="9" fontId="3" fillId="3" borderId="6" xfId="0" applyNumberFormat="1" applyFont="1" applyFill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>
      <alignment horizontal="left" indent="49"/>
    </xf>
    <xf numFmtId="0" fontId="3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</cellXfs>
  <cellStyles count="3">
    <cellStyle name="Normal" xfId="0" builtinId="0" customBuiltin="1"/>
    <cellStyle name="Normal 2" xfId="1" xr:uid="{00000000-0005-0000-0000-000001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59"/>
  <sheetViews>
    <sheetView showGridLines="0" tabSelected="1" view="pageLayout" topLeftCell="B5" zoomScale="130" zoomScaleNormal="120" zoomScalePageLayoutView="130" workbookViewId="0">
      <selection activeCell="D11" sqref="D11"/>
    </sheetView>
  </sheetViews>
  <sheetFormatPr defaultRowHeight="15"/>
  <cols>
    <col min="1" max="1" width="0.42578125" hidden="1" customWidth="1"/>
    <col min="2" max="2" width="10" customWidth="1"/>
    <col min="3" max="4" width="7.28515625" customWidth="1"/>
    <col min="5" max="5" width="7.85546875" customWidth="1"/>
    <col min="6" max="6" width="8" customWidth="1"/>
    <col min="7" max="10" width="7.28515625" customWidth="1"/>
    <col min="11" max="11" width="7.42578125" customWidth="1"/>
    <col min="12" max="12" width="7.28515625" customWidth="1"/>
    <col min="13" max="13" width="7.28515625" style="16" customWidth="1"/>
    <col min="14" max="14" width="8.28515625" customWidth="1"/>
    <col min="15" max="15" width="0.85546875" hidden="1" customWidth="1"/>
    <col min="16" max="16" width="9.140625" customWidth="1"/>
  </cols>
  <sheetData>
    <row r="1" spans="1:15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52"/>
      <c r="N1" s="3"/>
      <c r="O1" s="4"/>
    </row>
    <row r="2" spans="1:15">
      <c r="A2" s="5"/>
      <c r="B2" t="s">
        <v>1</v>
      </c>
      <c r="O2" s="6"/>
    </row>
    <row r="3" spans="1:15">
      <c r="A3" s="5"/>
      <c r="B3" t="s">
        <v>2</v>
      </c>
      <c r="O3" s="6"/>
    </row>
    <row r="4" spans="1:15">
      <c r="A4" s="5"/>
      <c r="B4" t="s">
        <v>3</v>
      </c>
      <c r="O4" s="6"/>
    </row>
    <row r="5" spans="1:15" ht="21" customHeight="1">
      <c r="A5" s="5"/>
      <c r="B5" s="87" t="s">
        <v>79</v>
      </c>
      <c r="C5" s="88"/>
      <c r="D5" s="31" t="s">
        <v>4</v>
      </c>
      <c r="G5" s="89" t="s">
        <v>5</v>
      </c>
      <c r="H5" s="89"/>
      <c r="I5" s="89"/>
      <c r="L5" s="90">
        <v>0</v>
      </c>
      <c r="M5" s="90"/>
      <c r="N5" s="17" t="s">
        <v>6</v>
      </c>
      <c r="O5" s="6"/>
    </row>
    <row r="6" spans="1:15" ht="18" customHeight="1">
      <c r="A6" s="5"/>
      <c r="B6" s="75" t="s">
        <v>7</v>
      </c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6"/>
    </row>
    <row r="7" spans="1:15" ht="18.75" customHeight="1">
      <c r="A7" s="5"/>
      <c r="B7" s="76" t="s">
        <v>52</v>
      </c>
      <c r="C7" s="76" t="s">
        <v>8</v>
      </c>
      <c r="D7" s="76"/>
      <c r="E7" s="76"/>
      <c r="F7" s="76"/>
      <c r="G7" s="76"/>
      <c r="H7" s="76"/>
      <c r="I7" s="76" t="s">
        <v>9</v>
      </c>
      <c r="J7" s="76"/>
      <c r="K7" s="76"/>
      <c r="L7" s="76"/>
      <c r="M7" s="76"/>
      <c r="N7" s="76"/>
      <c r="O7" s="6"/>
    </row>
    <row r="8" spans="1:15" ht="29.25" customHeight="1">
      <c r="A8" s="5"/>
      <c r="B8" s="76"/>
      <c r="C8" s="47" t="s">
        <v>44</v>
      </c>
      <c r="D8" s="10" t="s">
        <v>45</v>
      </c>
      <c r="E8" s="10" t="s">
        <v>10</v>
      </c>
      <c r="F8" s="15" t="s">
        <v>42</v>
      </c>
      <c r="G8" s="48" t="s">
        <v>12</v>
      </c>
      <c r="H8" s="10" t="s">
        <v>13</v>
      </c>
      <c r="I8" s="10" t="s">
        <v>43</v>
      </c>
      <c r="J8" s="10" t="s">
        <v>45</v>
      </c>
      <c r="K8" s="10" t="s">
        <v>10</v>
      </c>
      <c r="L8" s="15" t="s">
        <v>42</v>
      </c>
      <c r="M8" s="48" t="s">
        <v>12</v>
      </c>
      <c r="N8" s="10" t="s">
        <v>13</v>
      </c>
      <c r="O8" s="6"/>
    </row>
    <row r="9" spans="1:15" ht="15.95" customHeight="1">
      <c r="A9" s="5"/>
      <c r="B9" s="23"/>
      <c r="C9" s="21"/>
      <c r="D9" s="21"/>
      <c r="E9" s="21"/>
      <c r="F9" s="21"/>
      <c r="G9" s="21"/>
      <c r="H9" s="7">
        <v>5</v>
      </c>
      <c r="I9" s="7">
        <f>J9*(24-M9)</f>
        <v>1200</v>
      </c>
      <c r="J9" s="21">
        <v>50</v>
      </c>
      <c r="K9" s="21">
        <v>4.5</v>
      </c>
      <c r="L9" s="21">
        <v>20</v>
      </c>
      <c r="M9" s="21">
        <v>0</v>
      </c>
      <c r="N9" s="8">
        <v>1</v>
      </c>
      <c r="O9" s="6"/>
    </row>
    <row r="10" spans="1:15" ht="15.95" customHeight="1">
      <c r="A10" s="5"/>
      <c r="B10" s="24"/>
      <c r="C10" s="10">
        <f>D10*(24-G10)</f>
        <v>816</v>
      </c>
      <c r="D10" s="22">
        <v>34</v>
      </c>
      <c r="E10" s="22">
        <v>2.1</v>
      </c>
      <c r="F10" s="22">
        <v>11</v>
      </c>
      <c r="G10" s="22">
        <v>0</v>
      </c>
      <c r="H10" s="10">
        <v>7</v>
      </c>
      <c r="I10" s="7">
        <v>0</v>
      </c>
      <c r="J10" s="21"/>
      <c r="K10" s="22"/>
      <c r="L10" s="22"/>
      <c r="M10" s="22">
        <v>24</v>
      </c>
      <c r="N10" s="11">
        <v>2</v>
      </c>
      <c r="O10" s="6"/>
    </row>
    <row r="11" spans="1:15" ht="15.95" customHeight="1">
      <c r="A11" s="5"/>
      <c r="B11" s="24"/>
      <c r="C11" s="10">
        <f>D11*(24-G11)</f>
        <v>480</v>
      </c>
      <c r="D11" s="22">
        <v>20</v>
      </c>
      <c r="E11" s="22">
        <v>1.9</v>
      </c>
      <c r="F11" s="22">
        <v>11</v>
      </c>
      <c r="G11" s="22">
        <v>0</v>
      </c>
      <c r="H11" s="10">
        <v>8</v>
      </c>
      <c r="I11" s="7">
        <f>J11*(24-M11)</f>
        <v>1440</v>
      </c>
      <c r="J11" s="22">
        <v>60</v>
      </c>
      <c r="K11" s="22">
        <v>8</v>
      </c>
      <c r="L11" s="22">
        <v>20</v>
      </c>
      <c r="M11" s="22">
        <v>0</v>
      </c>
      <c r="N11" s="11">
        <v>3</v>
      </c>
      <c r="O11" s="6"/>
    </row>
    <row r="12" spans="1:15" ht="15.95" customHeight="1">
      <c r="A12" s="5"/>
      <c r="B12" s="24"/>
      <c r="C12" s="37"/>
      <c r="D12" s="37"/>
      <c r="E12" s="37"/>
      <c r="F12" s="37"/>
      <c r="G12" s="37"/>
      <c r="H12" s="19"/>
      <c r="I12" s="7">
        <f t="shared" ref="I12:I13" si="0">J12*(24-M12)</f>
        <v>1200</v>
      </c>
      <c r="J12" s="22">
        <v>50</v>
      </c>
      <c r="K12" s="22">
        <v>5.3</v>
      </c>
      <c r="L12" s="22">
        <v>20</v>
      </c>
      <c r="M12" s="22">
        <v>0</v>
      </c>
      <c r="N12" s="11">
        <v>4</v>
      </c>
      <c r="O12" s="6"/>
    </row>
    <row r="13" spans="1:15" ht="15.95" customHeight="1">
      <c r="A13" s="5"/>
      <c r="B13" s="24"/>
      <c r="C13" s="37"/>
      <c r="D13" s="37"/>
      <c r="E13" s="37"/>
      <c r="F13" s="37"/>
      <c r="G13" s="37"/>
      <c r="H13" s="19"/>
      <c r="I13" s="7">
        <f t="shared" si="0"/>
        <v>1200</v>
      </c>
      <c r="J13" s="22">
        <v>50</v>
      </c>
      <c r="K13" s="22">
        <v>13</v>
      </c>
      <c r="L13" s="22">
        <v>20</v>
      </c>
      <c r="M13" s="22">
        <v>0</v>
      </c>
      <c r="N13" s="11">
        <v>5</v>
      </c>
      <c r="O13" s="6"/>
    </row>
    <row r="14" spans="1:15" ht="15.95" customHeight="1">
      <c r="A14" s="5"/>
      <c r="B14" s="24"/>
      <c r="C14" s="37"/>
      <c r="D14" s="37"/>
      <c r="E14" s="37"/>
      <c r="F14" s="37"/>
      <c r="G14" s="37"/>
      <c r="H14" s="19"/>
      <c r="I14" s="7"/>
      <c r="J14" s="22"/>
      <c r="K14" s="22"/>
      <c r="L14" s="22"/>
      <c r="M14" s="22">
        <v>24</v>
      </c>
      <c r="N14" s="11">
        <v>6</v>
      </c>
      <c r="O14" s="6"/>
    </row>
    <row r="15" spans="1:15" ht="15.95" customHeight="1">
      <c r="A15" s="5"/>
      <c r="B15" s="23"/>
      <c r="C15" s="38"/>
      <c r="D15" s="38"/>
      <c r="E15" s="38"/>
      <c r="F15" s="38"/>
      <c r="G15" s="38"/>
      <c r="H15" s="20"/>
      <c r="I15" s="7"/>
      <c r="J15" s="21"/>
      <c r="K15" s="21"/>
      <c r="L15" s="21"/>
      <c r="M15" s="21">
        <v>24</v>
      </c>
      <c r="N15" s="8">
        <v>7</v>
      </c>
      <c r="O15" s="6"/>
    </row>
    <row r="16" spans="1:15" ht="21" customHeight="1">
      <c r="A16" s="5"/>
      <c r="B16" s="10">
        <f>I16+C16</f>
        <v>6336</v>
      </c>
      <c r="C16" s="10">
        <f>C9+C10+C11</f>
        <v>1296</v>
      </c>
      <c r="D16" s="10">
        <f>SUM(D9:D15)</f>
        <v>54</v>
      </c>
      <c r="E16" s="22">
        <v>2</v>
      </c>
      <c r="F16" s="10">
        <f>SUM(F12,F10,F11)</f>
        <v>22</v>
      </c>
      <c r="G16" s="10">
        <f>SUM(G9:G11)</f>
        <v>0</v>
      </c>
      <c r="H16" s="12" t="s">
        <v>14</v>
      </c>
      <c r="I16" s="10">
        <f>I9+I10+I11+I12+I13+I14+I15</f>
        <v>5040</v>
      </c>
      <c r="J16" s="10">
        <f>J9+J10+J11+J12+J13+J14+J15</f>
        <v>210</v>
      </c>
      <c r="K16" s="22">
        <v>7.2</v>
      </c>
      <c r="L16" s="10">
        <f>SUM(L9:L15)</f>
        <v>80</v>
      </c>
      <c r="M16" s="10">
        <f>SUM(M9:M15)</f>
        <v>72</v>
      </c>
      <c r="N16" s="12" t="s">
        <v>14</v>
      </c>
      <c r="O16" s="6"/>
    </row>
    <row r="17" spans="1:19" ht="6.75" customHeight="1">
      <c r="A17" s="5"/>
      <c r="O17" s="6"/>
    </row>
    <row r="18" spans="1:19" ht="18" customHeight="1">
      <c r="A18" s="5"/>
      <c r="B18" s="75" t="s">
        <v>47</v>
      </c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6"/>
    </row>
    <row r="19" spans="1:19" ht="15" customHeight="1">
      <c r="A19" s="5"/>
      <c r="B19" s="29"/>
      <c r="C19" s="76" t="s">
        <v>15</v>
      </c>
      <c r="D19" s="76" t="s">
        <v>16</v>
      </c>
      <c r="E19" s="30" t="s">
        <v>17</v>
      </c>
      <c r="F19" s="30" t="s">
        <v>17</v>
      </c>
      <c r="G19" s="86" t="s">
        <v>18</v>
      </c>
      <c r="H19" s="86"/>
      <c r="I19" s="76" t="s">
        <v>19</v>
      </c>
      <c r="J19" s="86" t="s">
        <v>20</v>
      </c>
      <c r="K19" s="86"/>
      <c r="L19" s="86" t="s">
        <v>21</v>
      </c>
      <c r="M19" s="86"/>
      <c r="N19" s="30"/>
      <c r="O19" s="6"/>
    </row>
    <row r="20" spans="1:19">
      <c r="A20" s="5"/>
      <c r="B20" s="29"/>
      <c r="C20" s="76"/>
      <c r="D20" s="76"/>
      <c r="E20" s="10">
        <v>200</v>
      </c>
      <c r="F20" s="10">
        <v>1360</v>
      </c>
      <c r="G20" s="10">
        <v>2</v>
      </c>
      <c r="H20" s="10">
        <v>1</v>
      </c>
      <c r="I20" s="76"/>
      <c r="J20" s="10">
        <v>2</v>
      </c>
      <c r="K20" s="10">
        <v>1</v>
      </c>
      <c r="L20" s="10">
        <v>12</v>
      </c>
      <c r="M20" s="10">
        <v>11</v>
      </c>
      <c r="N20" s="9"/>
      <c r="O20" s="6"/>
    </row>
    <row r="21" spans="1:19">
      <c r="A21" s="5"/>
      <c r="B21" s="11">
        <f>L21+G21+F21+E21+D21</f>
        <v>6336</v>
      </c>
      <c r="C21" s="22">
        <v>0</v>
      </c>
      <c r="D21" s="22">
        <v>20</v>
      </c>
      <c r="E21" s="22">
        <v>140</v>
      </c>
      <c r="F21" s="22">
        <v>1156</v>
      </c>
      <c r="G21" s="79">
        <v>0</v>
      </c>
      <c r="H21" s="79"/>
      <c r="I21" s="22">
        <v>0</v>
      </c>
      <c r="J21" s="22">
        <v>0</v>
      </c>
      <c r="K21" s="22">
        <v>0</v>
      </c>
      <c r="L21" s="84">
        <v>5020</v>
      </c>
      <c r="M21" s="85"/>
      <c r="N21" s="11" t="s">
        <v>46</v>
      </c>
      <c r="O21" s="6"/>
    </row>
    <row r="22" spans="1:19" ht="17.100000000000001" customHeight="1">
      <c r="A22" s="5"/>
      <c r="B22" s="25"/>
      <c r="C22" s="43">
        <v>0</v>
      </c>
      <c r="D22" s="43"/>
      <c r="E22" s="32">
        <v>0.74</v>
      </c>
      <c r="F22" s="49">
        <v>0.94</v>
      </c>
      <c r="G22" s="83"/>
      <c r="H22" s="82"/>
      <c r="I22" s="43"/>
      <c r="J22" s="44"/>
      <c r="K22" s="44"/>
      <c r="L22" s="33">
        <v>0.79</v>
      </c>
      <c r="M22" s="33">
        <v>0.8</v>
      </c>
      <c r="N22" s="13" t="s">
        <v>22</v>
      </c>
      <c r="O22" s="6"/>
    </row>
    <row r="23" spans="1:19" ht="6" customHeight="1">
      <c r="A23" s="5"/>
      <c r="O23" s="6"/>
    </row>
    <row r="24" spans="1:19" ht="18" customHeight="1">
      <c r="A24" s="5"/>
      <c r="B24" s="75" t="s">
        <v>48</v>
      </c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6"/>
    </row>
    <row r="25" spans="1:19" ht="18" customHeight="1">
      <c r="A25" s="5"/>
      <c r="B25" s="76" t="s">
        <v>52</v>
      </c>
      <c r="C25" s="76"/>
      <c r="D25" s="82" t="s">
        <v>23</v>
      </c>
      <c r="E25" s="82"/>
      <c r="F25" s="82"/>
      <c r="G25" s="82"/>
      <c r="H25" s="82"/>
      <c r="I25" s="82" t="s">
        <v>24</v>
      </c>
      <c r="J25" s="82"/>
      <c r="K25" s="82"/>
      <c r="L25" s="82"/>
      <c r="M25" s="82"/>
      <c r="N25" s="82"/>
      <c r="O25" s="6"/>
    </row>
    <row r="26" spans="1:19" ht="18.75" customHeight="1">
      <c r="A26" s="5"/>
      <c r="B26" s="76"/>
      <c r="C26" s="76"/>
      <c r="D26" s="76" t="s">
        <v>14</v>
      </c>
      <c r="E26" s="76"/>
      <c r="F26" s="10" t="s">
        <v>21</v>
      </c>
      <c r="G26" s="76" t="s">
        <v>25</v>
      </c>
      <c r="H26" s="76"/>
      <c r="I26" s="76" t="s">
        <v>14</v>
      </c>
      <c r="J26" s="76"/>
      <c r="K26" s="10" t="s">
        <v>56</v>
      </c>
      <c r="L26" s="10" t="s">
        <v>20</v>
      </c>
      <c r="M26" s="10" t="s">
        <v>21</v>
      </c>
      <c r="N26" s="26"/>
      <c r="O26" s="6"/>
    </row>
    <row r="27" spans="1:19" ht="15.95" customHeight="1">
      <c r="A27" s="5"/>
      <c r="B27" s="80">
        <f>I27+D27</f>
        <v>106</v>
      </c>
      <c r="C27" s="80"/>
      <c r="D27" s="80">
        <f>G27+F27</f>
        <v>22</v>
      </c>
      <c r="E27" s="80"/>
      <c r="F27" s="27">
        <v>0</v>
      </c>
      <c r="G27" s="81">
        <v>22</v>
      </c>
      <c r="H27" s="81"/>
      <c r="I27" s="80">
        <f>K27+L27+M27</f>
        <v>84</v>
      </c>
      <c r="J27" s="80"/>
      <c r="K27" s="27">
        <v>41</v>
      </c>
      <c r="L27" s="27">
        <v>0</v>
      </c>
      <c r="M27" s="27">
        <v>43</v>
      </c>
      <c r="N27" s="12" t="s">
        <v>11</v>
      </c>
      <c r="O27" s="6"/>
      <c r="S27" s="17"/>
    </row>
    <row r="28" spans="1:19" ht="15.95" customHeight="1">
      <c r="A28" s="5"/>
      <c r="B28" s="80">
        <f>I28+D28</f>
        <v>100</v>
      </c>
      <c r="C28" s="80"/>
      <c r="D28" s="80">
        <f>F28+G28</f>
        <v>21</v>
      </c>
      <c r="E28" s="80"/>
      <c r="F28" s="28">
        <v>0</v>
      </c>
      <c r="G28" s="81">
        <v>21</v>
      </c>
      <c r="H28" s="81"/>
      <c r="I28" s="80">
        <f>K28+L28+M28</f>
        <v>79</v>
      </c>
      <c r="J28" s="80"/>
      <c r="K28" s="28">
        <v>47</v>
      </c>
      <c r="L28" s="28">
        <v>0</v>
      </c>
      <c r="M28" s="27">
        <v>32</v>
      </c>
      <c r="N28" s="12" t="s">
        <v>26</v>
      </c>
      <c r="O28" s="6"/>
    </row>
    <row r="29" spans="1:19" ht="6" customHeight="1">
      <c r="A29" s="5"/>
      <c r="O29" s="6"/>
    </row>
    <row r="30" spans="1:19" ht="18" customHeight="1">
      <c r="A30" s="5"/>
      <c r="B30" s="75" t="s">
        <v>50</v>
      </c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6"/>
    </row>
    <row r="31" spans="1:19" ht="25.5" customHeight="1">
      <c r="A31" s="5"/>
      <c r="B31" s="76" t="s">
        <v>14</v>
      </c>
      <c r="C31" s="76"/>
      <c r="D31" s="76" t="s">
        <v>16</v>
      </c>
      <c r="E31" s="76"/>
      <c r="F31" s="76" t="s">
        <v>27</v>
      </c>
      <c r="G31" s="76"/>
      <c r="H31" s="76" t="s">
        <v>28</v>
      </c>
      <c r="I31" s="76"/>
      <c r="J31" s="76" t="s">
        <v>29</v>
      </c>
      <c r="K31" s="76"/>
      <c r="L31" s="76" t="s">
        <v>30</v>
      </c>
      <c r="M31" s="76"/>
      <c r="O31" s="6"/>
    </row>
    <row r="32" spans="1:19" ht="15.95" customHeight="1">
      <c r="A32" s="5"/>
      <c r="B32" s="80">
        <f>L32+J32</f>
        <v>6400</v>
      </c>
      <c r="C32" s="80"/>
      <c r="D32" s="79">
        <v>0</v>
      </c>
      <c r="E32" s="79"/>
      <c r="F32" s="79">
        <v>0</v>
      </c>
      <c r="G32" s="79"/>
      <c r="H32" s="79">
        <v>0</v>
      </c>
      <c r="I32" s="79"/>
      <c r="J32" s="79">
        <v>2100</v>
      </c>
      <c r="K32" s="79"/>
      <c r="L32" s="79">
        <v>4300</v>
      </c>
      <c r="M32" s="79"/>
      <c r="N32" s="10" t="s">
        <v>49</v>
      </c>
      <c r="O32" s="6"/>
    </row>
    <row r="33" spans="1:33" ht="17.100000000000001" customHeight="1">
      <c r="A33" s="5"/>
      <c r="B33" s="74"/>
      <c r="C33" s="74"/>
      <c r="D33" s="45">
        <v>0</v>
      </c>
      <c r="E33" s="46"/>
      <c r="F33" s="77">
        <v>0</v>
      </c>
      <c r="G33" s="78"/>
      <c r="H33" s="77">
        <v>0.69</v>
      </c>
      <c r="I33" s="78"/>
      <c r="J33" s="77">
        <v>0.63</v>
      </c>
      <c r="K33" s="78"/>
      <c r="L33" s="77">
        <v>0.94</v>
      </c>
      <c r="M33" s="78"/>
      <c r="N33" s="14" t="s">
        <v>31</v>
      </c>
      <c r="O33" s="6"/>
      <c r="S33" s="39"/>
    </row>
    <row r="34" spans="1:33" ht="6" customHeight="1">
      <c r="A34" s="5"/>
      <c r="O34" s="6"/>
    </row>
    <row r="35" spans="1:33" ht="18" customHeight="1">
      <c r="A35" s="5"/>
      <c r="B35" s="75" t="s">
        <v>57</v>
      </c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6"/>
    </row>
    <row r="36" spans="1:33" ht="30.75" customHeight="1">
      <c r="A36" s="5"/>
      <c r="B36" s="76" t="s">
        <v>14</v>
      </c>
      <c r="C36" s="76"/>
      <c r="D36" s="50" t="s">
        <v>55</v>
      </c>
      <c r="E36" s="76" t="s">
        <v>54</v>
      </c>
      <c r="F36" s="76"/>
      <c r="G36" s="76" t="s">
        <v>53</v>
      </c>
      <c r="H36" s="76"/>
      <c r="I36" s="15" t="s">
        <v>32</v>
      </c>
      <c r="J36" s="15" t="s">
        <v>33</v>
      </c>
      <c r="K36" s="15" t="s">
        <v>34</v>
      </c>
      <c r="L36" s="15" t="s">
        <v>35</v>
      </c>
      <c r="M36" s="10" t="s">
        <v>21</v>
      </c>
      <c r="N36" s="10" t="s">
        <v>36</v>
      </c>
      <c r="O36" s="6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</row>
    <row r="37" spans="1:33" ht="15.95" customHeight="1">
      <c r="A37" s="5"/>
      <c r="B37" s="76">
        <f>SUM(D37:N37)</f>
        <v>28000</v>
      </c>
      <c r="C37" s="76"/>
      <c r="D37" s="22">
        <v>100</v>
      </c>
      <c r="E37" s="79">
        <v>6800</v>
      </c>
      <c r="F37" s="79"/>
      <c r="G37" s="79">
        <v>10000</v>
      </c>
      <c r="H37" s="79"/>
      <c r="I37" s="22">
        <v>3000</v>
      </c>
      <c r="J37" s="22">
        <v>0</v>
      </c>
      <c r="K37" s="22">
        <v>3200</v>
      </c>
      <c r="L37" s="22">
        <v>200</v>
      </c>
      <c r="M37" s="22">
        <v>1500</v>
      </c>
      <c r="N37" s="22">
        <v>3200</v>
      </c>
      <c r="O37" s="6"/>
      <c r="W37" s="40"/>
    </row>
    <row r="38" spans="1:33" ht="6" customHeight="1">
      <c r="A38" s="5"/>
      <c r="B38" s="31"/>
      <c r="C38" s="31"/>
      <c r="E38" s="16"/>
      <c r="F38" s="16"/>
      <c r="G38" s="16"/>
      <c r="H38" s="16"/>
      <c r="O38" s="6"/>
    </row>
    <row r="39" spans="1:33" ht="16.5" customHeight="1">
      <c r="A39" s="5"/>
      <c r="B39" s="31"/>
      <c r="C39" s="31"/>
      <c r="E39" s="16"/>
      <c r="F39" s="95" t="s">
        <v>51</v>
      </c>
      <c r="G39" s="96"/>
      <c r="H39" s="79">
        <v>0</v>
      </c>
      <c r="I39" s="79"/>
      <c r="J39" s="79"/>
      <c r="K39" s="76" t="s">
        <v>37</v>
      </c>
      <c r="L39" s="76"/>
      <c r="M39" s="76"/>
      <c r="N39" s="76"/>
      <c r="O39" s="6"/>
      <c r="Z39" s="41"/>
    </row>
    <row r="40" spans="1:33" ht="24" customHeight="1">
      <c r="A40" s="5"/>
      <c r="B40" s="94" t="s">
        <v>58</v>
      </c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51"/>
      <c r="N40" s="17" t="s">
        <v>38</v>
      </c>
      <c r="O40" s="6"/>
    </row>
    <row r="41" spans="1:33" ht="15" customHeight="1">
      <c r="A41" s="5"/>
      <c r="B41" s="64" t="s">
        <v>72</v>
      </c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53" t="s">
        <v>66</v>
      </c>
      <c r="O41" s="6"/>
    </row>
    <row r="42" spans="1:33" ht="15" customHeight="1">
      <c r="A42" s="5"/>
      <c r="B42" s="64" t="s">
        <v>77</v>
      </c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53" t="s">
        <v>67</v>
      </c>
      <c r="O42" s="6"/>
      <c r="S42" s="39"/>
    </row>
    <row r="43" spans="1:33" ht="3" customHeight="1">
      <c r="A43" s="5"/>
      <c r="B43" s="59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60"/>
      <c r="O43" s="6"/>
      <c r="S43" s="39"/>
    </row>
    <row r="44" spans="1:33" s="42" customFormat="1" ht="22.5" customHeight="1">
      <c r="A44" s="5"/>
      <c r="B44" s="97" t="s">
        <v>59</v>
      </c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9"/>
      <c r="O44" s="6"/>
    </row>
    <row r="45" spans="1:33">
      <c r="A45" s="5"/>
      <c r="B45" s="63" t="s">
        <v>78</v>
      </c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53" t="s">
        <v>60</v>
      </c>
      <c r="O45" s="6"/>
      <c r="AA45" s="40"/>
    </row>
    <row r="46" spans="1:33" ht="15" customHeight="1">
      <c r="A46" s="5"/>
      <c r="B46" s="64" t="s">
        <v>69</v>
      </c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53" t="s">
        <v>61</v>
      </c>
      <c r="O46" s="6"/>
      <c r="AA46" s="40"/>
    </row>
    <row r="47" spans="1:33" ht="15" customHeight="1">
      <c r="A47" s="5"/>
      <c r="B47" s="64" t="s">
        <v>73</v>
      </c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53" t="s">
        <v>62</v>
      </c>
      <c r="O47" s="6"/>
    </row>
    <row r="48" spans="1:33" ht="15" customHeight="1">
      <c r="A48" s="5"/>
      <c r="B48" s="64" t="s">
        <v>74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53" t="s">
        <v>63</v>
      </c>
      <c r="O48" s="6"/>
    </row>
    <row r="49" spans="1:23">
      <c r="A49" s="5"/>
      <c r="B49" s="64" t="s">
        <v>74</v>
      </c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53" t="s">
        <v>64</v>
      </c>
      <c r="O49" s="6"/>
      <c r="W49" s="39"/>
    </row>
    <row r="50" spans="1:23" ht="18" customHeight="1">
      <c r="A50" s="5"/>
      <c r="B50" s="64" t="s">
        <v>70</v>
      </c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53" t="s">
        <v>65</v>
      </c>
      <c r="O50" s="6"/>
    </row>
    <row r="51" spans="1:23" ht="16.5" customHeight="1">
      <c r="A51" s="5"/>
      <c r="B51" s="64" t="s">
        <v>70</v>
      </c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53" t="s">
        <v>66</v>
      </c>
      <c r="O51" s="6"/>
    </row>
    <row r="52" spans="1:23" ht="14.25" customHeight="1">
      <c r="A52" s="5"/>
      <c r="B52" s="71" t="s">
        <v>68</v>
      </c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3"/>
      <c r="O52" s="6"/>
    </row>
    <row r="53" spans="1:23" ht="15.75" customHeight="1">
      <c r="A53" s="5"/>
      <c r="B53" s="66" t="s">
        <v>71</v>
      </c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8"/>
      <c r="N53" s="54">
        <v>-1</v>
      </c>
      <c r="O53" s="6"/>
    </row>
    <row r="54" spans="1:23" ht="14.25" customHeight="1">
      <c r="A54" s="5"/>
      <c r="B54" s="69" t="s">
        <v>80</v>
      </c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70"/>
      <c r="N54" s="54">
        <v>-2</v>
      </c>
      <c r="O54" s="6"/>
    </row>
    <row r="55" spans="1:23" ht="14.25" customHeight="1">
      <c r="A55" s="5"/>
      <c r="B55" s="65" t="s">
        <v>76</v>
      </c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54">
        <v>-3</v>
      </c>
      <c r="O55" s="6"/>
    </row>
    <row r="56" spans="1:23" ht="14.25" customHeight="1">
      <c r="A56" s="5"/>
      <c r="B56" s="66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8"/>
      <c r="N56" s="54">
        <v>-4</v>
      </c>
      <c r="O56" s="6"/>
    </row>
    <row r="57" spans="1:23" ht="14.25" customHeight="1">
      <c r="A57" s="5"/>
      <c r="B57" s="61" t="s">
        <v>75</v>
      </c>
      <c r="C57" s="93" t="s">
        <v>41</v>
      </c>
      <c r="D57" s="93"/>
      <c r="E57" s="92"/>
      <c r="F57" s="92"/>
      <c r="G57" s="92"/>
      <c r="H57" s="92"/>
      <c r="I57" s="92"/>
      <c r="J57" s="92"/>
      <c r="K57" s="92"/>
      <c r="L57" s="92"/>
      <c r="M57" s="92"/>
      <c r="N57" s="55"/>
      <c r="O57" s="35"/>
    </row>
    <row r="58" spans="1:23" ht="15.75" thickBot="1">
      <c r="A58" s="36"/>
      <c r="B58" s="57" t="s">
        <v>39</v>
      </c>
      <c r="C58" s="18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56" t="s">
        <v>40</v>
      </c>
      <c r="O58" s="34"/>
    </row>
    <row r="59" spans="1:23" ht="15.75" thickTop="1"/>
  </sheetData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ahmed yousef</cp:lastModifiedBy>
  <cp:lastPrinted>2024-01-01T11:58:19Z</cp:lastPrinted>
  <dcterms:created xsi:type="dcterms:W3CDTF">2021-07-13T07:33:15Z</dcterms:created>
  <dcterms:modified xsi:type="dcterms:W3CDTF">2025-11-21T21:17:56Z</dcterms:modified>
  <cp:contentStatus/>
</cp:coreProperties>
</file>