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<sst xmlns="http://schemas.openxmlformats.org/spreadsheetml/2006/main" count="102" uniqueCount="82">
  <si>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</si>
  <si>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</si>
  <si>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</si>
  <si>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</si>
  <si>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</si>
  <si>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</si>
  <si>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</si>
  <si>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</si>
  <si>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</si>
  <si>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</si>
  <si>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</si>
  <si>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</si>
  <si>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</si>
  <si>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</si>
  <si>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</si>
  <si>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</si>
  <si>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</si>
  <si>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</si>
  <si>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</si>
  <si>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</si>
  <si>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</si>
  <si>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</si>
  <si>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</si>
  <si>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</si>
  <si>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</si>
  <si>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</si>
  <si>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</si>
  <si>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</si>
  <si>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</si>
  <si>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</si>
  <si>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</si>
  <si>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</si>
  <si>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</si>
  <si>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</si>
  <si>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</si>
  <si>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</si>
  <si>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</si>
  <si>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</si>
  <si>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</si>
  <si>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</si>
  <si>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</si>
  <si>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</si>
  <si>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</si>
  <si>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</si>
  <si>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</si>
  <si>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</si>
  <si>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</si>
  <si>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</si>
  <si>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</si>
  <si>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</si>
  <si>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</si>
  <si>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</si>
  <si>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</si>
  <si>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</si>
  <si>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</si>
  <si>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</si>
  <si>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</si>
  <si>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</si>
  <si>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</si>
  <si>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</si>
  <si>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</si>
  <si>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</si>
  <si>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</si>
  <si>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</si>
  <si>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</si>
  <si>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</si>
  <si>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</si>
  <si>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</si>
  <si>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</si>
  <si>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</si>
  <si>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</si>
  <si>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.في انتظار وصول باقي المواد لتنفيذ اعمال العمرة السنوية</t>
  </si>
  <si>
    <t xml:space="preserve"> وليد محمد</t>
  </si>
  <si>
    <t xml:space="preserve"> علي خط الانتاج الي خزان (TK-1360) .</t>
  </si>
  <si>
    <t>علي خط الانتاج الي خزانات ( TK-11/12).</t>
  </si>
  <si>
    <t xml:space="preserve">علي خط الانتاج الي خزانات ( TK-11/12). </t>
  </si>
  <si>
    <t xml:space="preserve"> المياه المحلاه المرسله من تحلية اليوريا إلى ( 11/12- TK)  مستمره بمعدل 70m³/Hr .</t>
  </si>
  <si>
    <t>تحت أعمال الصيانه .</t>
  </si>
  <si>
    <t xml:space="preserve">كمية مياه البحر المرسلة الي الشركة الليبيه للإسمدة ( لايفيكو ) 23200m³/Hr . </t>
  </si>
  <si>
    <t>تم فتح صمام عزل مياه البحر6Ø المغذى لخط منظومة الاطفاء الرئيسى 20Ø عند الساعه 13:40pm بناءا على طلب قسم صيانة الاطفاء .</t>
  </si>
  <si>
    <t>↑</t>
  </si>
  <si>
    <t xml:space="preserve"> على خط التصريف الراجع الى البحر منذ الساعه 16:00pm بسبب ارتفاع الموصليه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</si>
</sst>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25" zoomScale="130" zoomScaleNormal="130" zoomScalePageLayoutView="120" workbookViewId="0">
      <selection activeCell="B42" sqref="B42:M42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46077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0</v>
      </c>
      <c r="J9" s="23">
        <v>0</v>
      </c>
      <c r="K9" s="24">
        <v>0</v>
      </c>
      <c r="L9" s="23">
        <v>0</v>
      </c>
      <c r="M9" s="23">
        <v>24</v>
      </c>
      <c r="N9" s="9">
        <v>1</v>
      </c>
      <c r="O9" s="7"/>
    </row>
    <row r="10" spans="1:16" ht="15.95" customHeight="1">
      <c r="A10" s="5"/>
      <c r="B10" s="27"/>
      <c r="C10" s="11">
        <f>D10*(24-G10)</f>
        <v>544</v>
      </c>
      <c r="D10" s="25">
        <v>34</v>
      </c>
      <c r="E10" s="25" t="s">
        <v>80</v>
      </c>
      <c r="F10" s="25">
        <v>11</v>
      </c>
      <c r="G10" s="25">
        <v>8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1.9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4.8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4.3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1200</v>
      </c>
      <c r="J13" s="25">
        <v>50</v>
      </c>
      <c r="K13" s="25">
        <v>17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5176</v>
      </c>
      <c r="C16" s="11">
        <f>C9+C10+C11</f>
        <v>1168</v>
      </c>
      <c r="D16" s="11">
        <f>SUM(D9:D15)</f>
        <v>60</v>
      </c>
      <c r="E16" s="25">
        <v>1.9</v>
      </c>
      <c r="F16" s="11">
        <f>SUM(F12,F10,F11)</f>
        <v>22</v>
      </c>
      <c r="G16" s="11">
        <f>SUM(G9:G11)</f>
        <v>8</v>
      </c>
      <c r="H16" s="13" t="s">
        <v>14</v>
      </c>
      <c r="I16" s="11">
        <f>I9+I10+I11+I12+I13+I14+I15</f>
        <v>4008</v>
      </c>
      <c r="J16" s="11">
        <f>J9+J10+J11+J12+J13+J14+J15</f>
        <v>167</v>
      </c>
      <c r="K16" s="25">
        <v>9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5176</v>
      </c>
      <c r="C21" s="25">
        <v>0</v>
      </c>
      <c r="D21" s="25">
        <v>20</v>
      </c>
      <c r="E21" s="25"/>
      <c r="F21" s="25">
        <v>1168</v>
      </c>
      <c r="G21" s="90"/>
      <c r="H21" s="90"/>
      <c r="I21" s="25"/>
      <c r="J21" s="25">
        <v>0</v>
      </c>
      <c r="K21" s="25">
        <v>0</v>
      </c>
      <c r="L21" s="95">
        <v>3988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0.97</v>
      </c>
      <c r="F22" s="56">
        <v>0.48</v>
      </c>
      <c r="G22" s="94"/>
      <c r="H22" s="93"/>
      <c r="I22" s="49"/>
      <c r="J22" s="50"/>
      <c r="K22" s="50"/>
      <c r="L22" s="37">
        <v>0.84</v>
      </c>
      <c r="M22" s="37">
        <v>0.83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88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66</v>
      </c>
      <c r="J27" s="91"/>
      <c r="K27" s="30">
        <v>38</v>
      </c>
      <c r="L27" s="30">
        <v>0</v>
      </c>
      <c r="M27" s="59">
        <v>28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80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60</v>
      </c>
      <c r="J28" s="91"/>
      <c r="K28" s="31">
        <v>52</v>
      </c>
      <c r="L28" s="31">
        <v>0</v>
      </c>
      <c r="M28" s="62">
        <v>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6390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4290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0.96</v>
      </c>
      <c r="G33" s="89"/>
      <c r="H33" s="88">
        <v>0.81</v>
      </c>
      <c r="I33" s="89"/>
      <c r="J33" s="88">
        <v>0.79</v>
      </c>
      <c r="K33" s="89"/>
      <c r="L33" s="88">
        <v>0.88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27200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1680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81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73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77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71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74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74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75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76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78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79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72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2026-02-24T23:52:57Z</dcterms:modified>
  <cp:contentStatus/>
</cp:coreProperties>
</file>