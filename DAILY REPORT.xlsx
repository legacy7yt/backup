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<sst xmlns="http://schemas.openxmlformats.org/spreadsheetml/2006/main" count="101" uniqueCount="82">
  <si>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</si>
  <si>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</si>
  <si>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</si>
  <si>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</si>
  <si>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</si>
  <si>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</si>
  <si>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</si>
  <si>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</si>
  <si>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</si>
  <si>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</si>
  <si>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</si>
  <si>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</si>
  <si>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</si>
  <si>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</si>
  <si>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</si>
  <si>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</si>
  <si>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</si>
  <si>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</si>
  <si>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</si>
  <si>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</si>
  <si>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</si>
  <si>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</si>
  <si>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</si>
  <si>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</si>
  <si>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</si>
  <si>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</si>
  <si>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</si>
  <si>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</si>
  <si>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</si>
  <si>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</si>
  <si>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</si>
  <si>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</si>
  <si>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</si>
  <si>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</si>
  <si>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</si>
  <si>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</si>
  <si>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</si>
  <si>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</si>
  <si>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</si>
  <si>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</si>
  <si>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</si>
  <si>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</si>
  <si>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</si>
  <si>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</si>
  <si>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</si>
  <si>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</si>
  <si>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</si>
  <si>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</si>
  <si>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</si>
  <si>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</si>
  <si>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</si>
  <si>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</si>
  <si>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</si>
  <si>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</si>
  <si>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</si>
  <si>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</si>
  <si>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</si>
  <si>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</si>
  <si>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</si>
  <si>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</si>
  <si>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</si>
  <si>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</si>
  <si>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</si>
  <si>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</si>
  <si>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</si>
  <si>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</si>
  <si>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</si>
  <si>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</si>
  <si>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</si>
  <si>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</si>
  <si>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.في انتظار وصول باقي المواد لتنفيذ اعمال العمرة السنوية </t>
  </si>
  <si>
    <t xml:space="preserve"> تحت إجراءات التخريد .</t>
  </si>
  <si>
    <t xml:space="preserve"> تحت إجراءات التخريد . </t>
  </si>
  <si>
    <t xml:space="preserve"> على خط الانتاج إلى خزانات 11/12.</t>
  </si>
  <si>
    <t>علي خط الانتاج الي الخزانات 11/12.</t>
  </si>
  <si>
    <t xml:space="preserve"> وليد محمد</t>
  </si>
  <si>
    <t xml:space="preserve"> تحت اعمال الصيانة .</t>
  </si>
  <si>
    <t xml:space="preserve"> المياه المحلاة المرسلة من خزانات تحلية اليوريا الي خزانات 11/12 مستمرة , بمعدل40m³/ hr .</t>
  </si>
  <si>
    <t xml:space="preserve"> كمية البخار المرسلة من مصنع اليوريا إلى التحليه الثانيه مستمرة , بمعدل 10 طن / ساعة .</t>
  </si>
  <si>
    <t xml:space="preserve"> تم تحويل انتاج المياه المحلاه للتحلية الاولى الي خزانات TK11,12 منذ الساعة 07:00AM .</t>
  </si>
  <si>
    <t xml:space="preserve"> على خط الانتاج الي خزان 1360 .</t>
  </si>
  <si>
    <t xml:space="preserve"> علي خط الانتاج الي خزان 1360 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</si>
</sst>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5" zoomScale="130" zoomScaleNormal="130" zoomScalePageLayoutView="120" workbookViewId="0">
      <selection activeCell="B42" sqref="B42:M42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46157</v>
      </c>
      <c r="C5" s="85"/>
      <c r="D5" s="35" t="s">
        <v>4</v>
      </c>
      <c r="G5" s="86" t="s">
        <v>5</v>
      </c>
      <c r="H5" s="86"/>
      <c r="I5" s="86"/>
      <c r="L5" s="88"/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600</v>
      </c>
      <c r="J9" s="23">
        <v>50</v>
      </c>
      <c r="K9" s="24">
        <v>0</v>
      </c>
      <c r="L9" s="23">
        <v>0</v>
      </c>
      <c r="M9" s="23">
        <v>12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</v>
      </c>
      <c r="F10" s="25">
        <v>11</v>
      </c>
      <c r="G10" s="25"/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3.5</v>
      </c>
      <c r="F11" s="25">
        <v>11</v>
      </c>
      <c r="G11" s="25"/>
      <c r="H11" s="11">
        <v>8</v>
      </c>
      <c r="I11" s="8">
        <f>J11*(24-M11)</f>
        <v>1440</v>
      </c>
      <c r="J11" s="25">
        <v>60</v>
      </c>
      <c r="K11" s="25">
        <v>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1224</v>
      </c>
      <c r="J12" s="25">
        <v>51</v>
      </c>
      <c r="K12" s="25">
        <v>10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24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4704</v>
      </c>
      <c r="C16" s="11">
        <f>C9+C10+C11</f>
        <v>1440</v>
      </c>
      <c r="D16" s="11">
        <f>SUM(D9:D15)</f>
        <v>60</v>
      </c>
      <c r="E16" s="25">
        <v>2.7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3264</v>
      </c>
      <c r="J16" s="11">
        <f>J9+J10+J11+J12+J13+J14+J15</f>
        <v>161</v>
      </c>
      <c r="K16" s="25">
        <v>7</v>
      </c>
      <c r="L16" s="11">
        <f>SUM(L9:L15)</f>
        <v>40</v>
      </c>
      <c r="M16" s="11">
        <f>SUM(M9:M15)</f>
        <v>108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4704</v>
      </c>
      <c r="C21" s="25">
        <v>0</v>
      </c>
      <c r="D21" s="25">
        <v>20</v>
      </c>
      <c r="E21" s="25">
        <v>0</v>
      </c>
      <c r="F21" s="25">
        <v>1140</v>
      </c>
      <c r="G21" s="78">
        <v>0</v>
      </c>
      <c r="H21" s="78"/>
      <c r="I21" s="25"/>
      <c r="J21" s="25">
        <v>0</v>
      </c>
      <c r="K21" s="25">
        <v>0</v>
      </c>
      <c r="L21" s="91">
        <v>3544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0.66</v>
      </c>
      <c r="F22" s="56">
        <v>0.41</v>
      </c>
      <c r="G22" s="89"/>
      <c r="H22" s="90"/>
      <c r="I22" s="49"/>
      <c r="J22" s="50"/>
      <c r="K22" s="50"/>
      <c r="L22" s="37">
        <v>0.35</v>
      </c>
      <c r="M22" s="37">
        <v>0.35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67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45</v>
      </c>
      <c r="J27" s="94"/>
      <c r="K27" s="30">
        <v>23</v>
      </c>
      <c r="L27" s="30">
        <v>8</v>
      </c>
      <c r="M27" s="59">
        <v>14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58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38</v>
      </c>
      <c r="J28" s="94"/>
      <c r="K28" s="31">
        <v>31</v>
      </c>
      <c r="L28" s="31">
        <v>0</v>
      </c>
      <c r="M28" s="62">
        <v>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8148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6048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0.72</v>
      </c>
      <c r="G33" s="98"/>
      <c r="H33" s="97">
        <v>0.56999999999999995</v>
      </c>
      <c r="I33" s="98"/>
      <c r="J33" s="97">
        <v>0.71</v>
      </c>
      <c r="K33" s="98"/>
      <c r="L33" s="97">
        <v>0.9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20850</v>
      </c>
      <c r="C37" s="77"/>
      <c r="D37" s="25">
        <v>100</v>
      </c>
      <c r="E37" s="78">
        <v>6500</v>
      </c>
      <c r="F37" s="78"/>
      <c r="G37" s="78">
        <v>7500</v>
      </c>
      <c r="H37" s="78"/>
      <c r="I37" s="25">
        <v>1600</v>
      </c>
      <c r="J37" s="25">
        <v>1250</v>
      </c>
      <c r="K37" s="25">
        <v>0</v>
      </c>
      <c r="L37" s="25">
        <v>800</v>
      </c>
      <c r="M37" s="25">
        <v>1500</v>
      </c>
      <c r="N37" s="25">
        <v>1600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1420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80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81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73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76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72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77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78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79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2026-05-15T23:54:20Z</dcterms:modified>
  <cp:contentStatus/>
</cp:coreProperties>
</file>