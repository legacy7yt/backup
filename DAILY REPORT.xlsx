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<sst xmlns="http://schemas.openxmlformats.org/spreadsheetml/2006/main" count="101" uniqueCount="81">
  <si>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</si>
  <si>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</si>
  <si>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</si>
  <si>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</si>
  <si>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</si>
  <si>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</si>
  <si>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</si>
  <si>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</si>
  <si>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</si>
  <si>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</si>
  <si>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</si>
  <si>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</si>
  <si>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</si>
  <si>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</si>
  <si>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</si>
  <si>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</si>
  <si>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</si>
  <si>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</si>
  <si>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</si>
  <si>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</si>
  <si>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</si>
  <si>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</si>
  <si>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</si>
  <si>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</si>
  <si>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</si>
  <si>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</si>
  <si>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</si>
  <si>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</si>
  <si>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</si>
  <si>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</si>
  <si>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</si>
  <si>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</si>
  <si>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</si>
  <si>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</si>
  <si>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</si>
  <si>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</si>
  <si>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</si>
  <si>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</si>
  <si>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</si>
  <si>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</si>
  <si>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</si>
  <si>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</si>
  <si>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</si>
  <si>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</si>
  <si>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</si>
  <si>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</si>
  <si>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</si>
  <si>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</si>
  <si>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</si>
  <si>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</si>
  <si>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</si>
  <si>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</si>
  <si>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</si>
  <si>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</si>
  <si>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</si>
  <si>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</si>
  <si>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</si>
  <si>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</si>
  <si>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</si>
  <si>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</si>
  <si>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</si>
  <si>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</si>
  <si>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</si>
  <si>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</si>
  <si>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</si>
  <si>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</si>
  <si>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</si>
  <si>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</si>
  <si>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</si>
  <si>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</si>
  <si>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</si>
  <si>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</si>
  <si>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</si>
  <si>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</si>
  <si>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</si>
  <si>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</si>
  <si>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</si>
  <si>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</si>
  <si>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</si>
  <si>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متوقفة لغرض الصيانة .</t>
  </si>
  <si>
    <t>البدء في إرسال المياه المحلاه من خزان 11/12 إلى خزان 1360 بمعدل 40 طن/الساعة منذ الساعة 08:30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</si>
</sst>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0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45942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238</v>
      </c>
      <c r="D10" s="25">
        <v>34</v>
      </c>
      <c r="E10" s="25">
        <v>3</v>
      </c>
      <c r="F10" s="25">
        <v>0</v>
      </c>
      <c r="G10" s="25">
        <v>17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80</v>
      </c>
      <c r="D11" s="25">
        <v>20</v>
      </c>
      <c r="E11" s="25">
        <v>2.5</v>
      </c>
      <c r="F11" s="25">
        <v>0</v>
      </c>
      <c r="G11" s="25">
        <v>20</v>
      </c>
      <c r="H11" s="11">
        <v>8</v>
      </c>
      <c r="I11" s="8">
        <f>J11*(24-M11)</f>
        <v>1560</v>
      </c>
      <c r="J11" s="25">
        <v>65</v>
      </c>
      <c r="K11" s="25">
        <v>5.6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4422</v>
      </c>
      <c r="C16" s="11">
        <f>C9+C10+C11</f>
        <v>318</v>
      </c>
      <c r="D16" s="11">
        <f>SUM(D9:D15)</f>
        <v>54</v>
      </c>
      <c r="E16" s="25"/>
      <c r="F16" s="11">
        <f>SUM(F12,F10,F11)</f>
        <v>0</v>
      </c>
      <c r="G16" s="11">
        <f>SUM(G9:G11)</f>
        <v>37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4422</v>
      </c>
      <c r="C21" s="25">
        <v>0</v>
      </c>
      <c r="D21" s="25">
        <v>20</v>
      </c>
      <c r="E21" s="25"/>
      <c r="F21" s="25">
        <v>938</v>
      </c>
      <c r="G21" s="90"/>
      <c r="H21" s="90"/>
      <c r="I21" s="25"/>
      <c r="J21" s="25">
        <v>0</v>
      </c>
      <c r="K21" s="25">
        <v>0</v>
      </c>
      <c r="L21" s="95">
        <v>3464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</v>
      </c>
      <c r="G22" s="94"/>
      <c r="H22" s="93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27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7567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5467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0.83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23650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1200</v>
      </c>
      <c r="J37" s="25">
        <v>1150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0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2025-12-11T03:39:58Z</dcterms:modified>
  <cp:contentStatus/>
</cp:coreProperties>
</file>