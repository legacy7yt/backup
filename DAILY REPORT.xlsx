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<sst xmlns="http://schemas.openxmlformats.org/spreadsheetml/2006/main" count="101" uniqueCount="79">
  <si>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</si>
  <si>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</si>
  <si>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</si>
  <si>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</si>
  <si>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</si>
  <si>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</si>
  <si>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</si>
  <si>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</si>
  <si>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</si>
  <si>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</si>
  <si>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</si>
  <si>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</si>
  <si>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</si>
  <si>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</si>
  <si>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</si>
  <si>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</si>
  <si>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</si>
  <si>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</si>
  <si>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</si>
  <si>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</si>
  <si>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</si>
  <si>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</si>
  <si>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</si>
  <si>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</si>
  <si>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</si>
  <si>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</si>
  <si>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</si>
  <si>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</si>
  <si>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</si>
  <si>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</si>
  <si>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</si>
  <si>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</si>
  <si>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</si>
  <si>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</si>
  <si>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</si>
  <si>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</si>
  <si>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</si>
  <si>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</si>
  <si>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</si>
  <si>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</si>
  <si>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</si>
  <si>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</si>
  <si>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</si>
  <si>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</si>
  <si>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</si>
  <si>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</si>
  <si>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</si>
  <si>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</si>
  <si>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</si>
  <si>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</si>
  <si>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</si>
  <si>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</si>
  <si>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</si>
  <si>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</si>
  <si>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</si>
  <si>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</si>
  <si>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</si>
  <si>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</si>
  <si>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</si>
  <si>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</si>
  <si>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</si>
  <si>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</si>
  <si>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</si>
  <si>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</si>
  <si>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</si>
  <si>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</si>
  <si>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</si>
  <si>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</si>
  <si>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</si>
  <si>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</si>
  <si>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</si>
  <si>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</si>
  <si>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</si>
  <si>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</si>
  <si>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يتم ارسال ( 10 طن/ ساعة) من البخار من مصنع اليوريا الي التحلية الثانية.</t>
  </si>
  <si>
    <t>عماد بيان</t>
  </si>
  <si>
    <t xml:space="preserve">علي خط الانتاج الي الخزنات DT-1&amp;DT-2   </t>
  </si>
  <si>
    <t>الوحدة رقم 8 تم تشغيلها عند الساعة 09:20 ودخلت خط الإنتاج الساعة 11:20 خزان 200 والساعة 16:20 إلى خزان 1360 .</t>
  </si>
  <si>
    <t>الوحدة رقم 5  إلى خزانات DT-1 &amp; DT-2  الساعة 20:45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</si>
</sst>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" zoomScale="130" zoomScaleNormal="130" zoomScalePageLayoutView="120" workbookViewId="0">
      <selection activeCell="M15" sqref="M1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46058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1176</v>
      </c>
      <c r="J9" s="23">
        <v>49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2.6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423</v>
      </c>
      <c r="J13" s="25">
        <v>47</v>
      </c>
      <c r="K13" s="25"/>
      <c r="L13" s="25"/>
      <c r="M13" s="25">
        <v>15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5703</v>
      </c>
      <c r="C16" s="11">
        <f>C9+C10+C11</f>
        <v>1296</v>
      </c>
      <c r="D16" s="11">
        <f>SUM(D9:D15)</f>
        <v>54</v>
      </c>
      <c r="E16" s="25">
        <v>2.5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4407</v>
      </c>
      <c r="J16" s="11">
        <f>J9+J10+J11+J12+J13+J14+J15</f>
        <v>213</v>
      </c>
      <c r="K16" s="25">
        <v>5</v>
      </c>
      <c r="L16" s="11">
        <f>SUM(L9:L15)</f>
        <v>60</v>
      </c>
      <c r="M16" s="11">
        <f>SUM(M9:M15)</f>
        <v>87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6214</v>
      </c>
      <c r="C21" s="25">
        <v>0</v>
      </c>
      <c r="D21" s="25">
        <v>20</v>
      </c>
      <c r="E21" s="25">
        <v>110</v>
      </c>
      <c r="F21" s="25">
        <v>992</v>
      </c>
      <c r="G21" s="90">
        <v>423</v>
      </c>
      <c r="H21" s="90"/>
      <c r="I21" s="25"/>
      <c r="J21" s="25">
        <v>0</v>
      </c>
      <c r="K21" s="25">
        <v>0</v>
      </c>
      <c r="L21" s="95">
        <v>4669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0.77</v>
      </c>
      <c r="F22" s="56">
        <v>0.43</v>
      </c>
      <c r="G22" s="94"/>
      <c r="H22" s="93"/>
      <c r="I22" s="49"/>
      <c r="J22" s="50"/>
      <c r="K22" s="50"/>
      <c r="L22" s="37">
        <v>0.52</v>
      </c>
      <c r="M22" s="37">
        <v>0.48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112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90</v>
      </c>
      <c r="J27" s="91"/>
      <c r="K27" s="30">
        <v>45</v>
      </c>
      <c r="L27" s="30">
        <v>10</v>
      </c>
      <c r="M27" s="59">
        <v>35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105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84</v>
      </c>
      <c r="J28" s="91"/>
      <c r="K28" s="31">
        <v>61</v>
      </c>
      <c r="L28" s="31">
        <v>0</v>
      </c>
      <c r="M28" s="62">
        <v>23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8398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6298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0.76</v>
      </c>
      <c r="I33" s="89"/>
      <c r="J33" s="88">
        <v>0.77</v>
      </c>
      <c r="K33" s="89"/>
      <c r="L33" s="88">
        <v>0.84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27700</v>
      </c>
      <c r="C37" s="87"/>
      <c r="D37" s="25">
        <v>100</v>
      </c>
      <c r="E37" s="90">
        <v>6700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73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76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74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77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78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75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2026-02-06T02:41:49Z</dcterms:modified>
  <cp:contentStatus/>
</cp:coreProperties>
</file>