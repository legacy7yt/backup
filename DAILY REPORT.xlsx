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<sst xmlns="http://schemas.openxmlformats.org/spreadsheetml/2006/main" count="101" uniqueCount="82">
  <si>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</si>
  <si>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</si>
  <si>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</si>
  <si>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</si>
  <si>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</si>
  <si>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</si>
  <si>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</si>
  <si>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</si>
  <si>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</si>
  <si>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</si>
  <si>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</si>
  <si>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</si>
  <si>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</si>
  <si>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</si>
  <si>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</si>
  <si>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</si>
  <si>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</si>
  <si>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</si>
  <si>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</si>
  <si>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</si>
  <si>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</si>
  <si>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</si>
  <si>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</si>
  <si>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</si>
  <si>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</si>
  <si>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</si>
  <si>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</si>
  <si>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</si>
  <si>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</si>
  <si>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</si>
  <si>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</si>
  <si>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</si>
  <si>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</si>
  <si>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</si>
  <si>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</si>
  <si>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</si>
  <si>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</si>
  <si>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</si>
  <si>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</si>
  <si>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</si>
  <si>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</si>
  <si>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</si>
  <si>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</si>
  <si>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</si>
  <si>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</si>
  <si>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</si>
  <si>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</si>
  <si>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</si>
  <si>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</si>
  <si>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</si>
  <si>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</si>
  <si>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</si>
  <si>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</si>
  <si>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</si>
  <si>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</si>
  <si>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</si>
  <si>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</si>
  <si>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</si>
  <si>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</si>
  <si>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</si>
  <si>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</si>
  <si>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</si>
  <si>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</si>
  <si>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</si>
  <si>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</si>
  <si>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</si>
  <si>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</si>
  <si>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</si>
  <si>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</si>
  <si>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%</t>
  </si>
  <si>
    <t xml:space="preserve">.في انتظار وصول باقي المواد لتنفيذ اعمال العمرة السنوية </t>
  </si>
  <si>
    <t xml:space="preserve"> تحت إجراءات التخريد .</t>
  </si>
  <si>
    <t xml:space="preserve"> تحت إجراءات التخريد . </t>
  </si>
  <si>
    <t xml:space="preserve"> على خط الانتاج إلى خزانات 11/12 .</t>
  </si>
  <si>
    <t>على خط الانتاج إلى خزانات 11/12 .</t>
  </si>
  <si>
    <t xml:space="preserve"> على خط الانتاج إلى خزان 1360 .</t>
  </si>
  <si>
    <t>علي خط الانتاج الي الخزانات 11/12</t>
  </si>
  <si>
    <t xml:space="preserve"> تحت اعمال الصيانة</t>
  </si>
  <si>
    <t xml:space="preserve"> المياه المحلاة المرسلة من خزانات تحلية اليوريا الي خزانات 11/12 مستمرة بمعدل 40/ساعة</t>
  </si>
  <si>
    <t>طارق عبدالله</t>
  </si>
  <si>
    <t xml:space="preserve"> كمية البخار المرسلة من مصنع اليوريا إلى محطة التحليه الثانيه مستمرة بمعدل 6 طن / ساعة .</t>
  </si>
  <si>
    <t>المياة المحلاة المرسلة من تحلية الثانية الي الخزان 1360 تم فتحها الساعة 21:50 بمعدل 25 متر مكعب في الساعة.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</si>
</sst>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4" zoomScale="130" zoomScaleNormal="130" zoomScalePageLayoutView="120" workbookViewId="0">
      <selection activeCell="B55" sqref="B55:M55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>
        <f ca="1">TODAY()-1</f>
        <v>46131</v>
      </c>
      <c r="C5" s="85"/>
      <c r="D5" s="35" t="s">
        <v>4</v>
      </c>
      <c r="G5" s="86" t="s">
        <v>5</v>
      </c>
      <c r="H5" s="86"/>
      <c r="I5" s="86"/>
      <c r="L5" s="88">
        <v>0</v>
      </c>
      <c r="M5" s="88"/>
      <c r="N5" s="19" t="s">
        <v>6</v>
      </c>
      <c r="O5" s="7"/>
    </row>
    <row r="6" spans="1:16" ht="18" customHeight="1">
      <c r="A6" s="5"/>
      <c r="B6" s="87" t="s">
        <v>7</v>
      </c>
      <c r="C6" s="87"/>
      <c r="D6" s="87"/>
      <c r="E6" s="87"/>
      <c r="F6" s="87"/>
      <c r="G6" s="87"/>
      <c r="H6" s="87"/>
      <c r="I6" s="87"/>
      <c r="J6" s="87"/>
      <c r="K6" s="87"/>
      <c r="L6" s="87"/>
      <c r="M6" s="87"/>
      <c r="N6" s="87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1320</v>
      </c>
      <c r="J9" s="23">
        <v>55</v>
      </c>
      <c r="K9" s="24">
        <v>6.5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2.6</v>
      </c>
      <c r="F10" s="25">
        <v>11</v>
      </c>
      <c r="G10" s="25">
        <v>0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624</v>
      </c>
      <c r="D11" s="25">
        <v>26</v>
      </c>
      <c r="E11" s="25">
        <v>1.5</v>
      </c>
      <c r="F11" s="25">
        <v>11</v>
      </c>
      <c r="G11" s="25">
        <v>0</v>
      </c>
      <c r="H11" s="11">
        <v>8</v>
      </c>
      <c r="I11" s="8">
        <f>J11*(24-M11)</f>
        <v>1392</v>
      </c>
      <c r="J11" s="25">
        <v>58</v>
      </c>
      <c r="K11" s="25">
        <v>9.6999999999999993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1272</v>
      </c>
      <c r="J12" s="25">
        <v>53</v>
      </c>
      <c r="K12" s="25">
        <v>5.4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0</v>
      </c>
      <c r="J13" s="25"/>
      <c r="K13" s="25"/>
      <c r="L13" s="25"/>
      <c r="M13" s="25">
        <v>24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5424</v>
      </c>
      <c r="C16" s="11">
        <f>C9+C10+C11</f>
        <v>1440</v>
      </c>
      <c r="D16" s="11">
        <f>SUM(D9:D15)</f>
        <v>60</v>
      </c>
      <c r="E16" s="25">
        <v>2.5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3984</v>
      </c>
      <c r="J16" s="11">
        <f>J9+J10+J11+J12+J13+J14+J15</f>
        <v>166</v>
      </c>
      <c r="K16" s="25">
        <v>7.2</v>
      </c>
      <c r="L16" s="11">
        <f>SUM(L9:L15)</f>
        <v>60</v>
      </c>
      <c r="M16" s="11">
        <f>SUM(M9:M15)</f>
        <v>96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7" t="s">
        <v>47</v>
      </c>
      <c r="C18" s="87"/>
      <c r="D18" s="87"/>
      <c r="E18" s="87"/>
      <c r="F18" s="87"/>
      <c r="G18" s="87"/>
      <c r="H18" s="87"/>
      <c r="I18" s="87"/>
      <c r="J18" s="87"/>
      <c r="K18" s="87"/>
      <c r="L18" s="87"/>
      <c r="M18" s="87"/>
      <c r="N18" s="87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3" t="s">
        <v>18</v>
      </c>
      <c r="H19" s="93"/>
      <c r="I19" s="77" t="s">
        <v>19</v>
      </c>
      <c r="J19" s="93" t="s">
        <v>20</v>
      </c>
      <c r="K19" s="93"/>
      <c r="L19" s="93" t="s">
        <v>21</v>
      </c>
      <c r="M19" s="93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5424</v>
      </c>
      <c r="C21" s="25">
        <v>0</v>
      </c>
      <c r="D21" s="25">
        <v>20</v>
      </c>
      <c r="E21" s="25">
        <v>0</v>
      </c>
      <c r="F21" s="25">
        <v>1490</v>
      </c>
      <c r="G21" s="78"/>
      <c r="H21" s="78"/>
      <c r="I21" s="25"/>
      <c r="J21" s="25">
        <v>0</v>
      </c>
      <c r="K21" s="25">
        <v>0</v>
      </c>
      <c r="L21" s="91">
        <v>3914</v>
      </c>
      <c r="M21" s="92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0.71</v>
      </c>
      <c r="F22" s="56">
        <v>0.73</v>
      </c>
      <c r="G22" s="89"/>
      <c r="H22" s="90"/>
      <c r="I22" s="49"/>
      <c r="J22" s="50"/>
      <c r="K22" s="50"/>
      <c r="L22" s="37">
        <v>0.68</v>
      </c>
      <c r="M22" s="37">
        <v>0.68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7" t="s">
        <v>48</v>
      </c>
      <c r="C24" s="87"/>
      <c r="D24" s="87"/>
      <c r="E24" s="87"/>
      <c r="F24" s="87"/>
      <c r="G24" s="87"/>
      <c r="H24" s="87"/>
      <c r="I24" s="87"/>
      <c r="J24" s="87"/>
      <c r="K24" s="87"/>
      <c r="L24" s="87"/>
      <c r="M24" s="87"/>
      <c r="N24" s="87"/>
      <c r="O24" s="7"/>
    </row>
    <row r="25" spans="1:19" ht="18" customHeight="1">
      <c r="A25" s="5"/>
      <c r="B25" s="77" t="s">
        <v>52</v>
      </c>
      <c r="C25" s="77"/>
      <c r="D25" s="90" t="s">
        <v>23</v>
      </c>
      <c r="E25" s="90"/>
      <c r="F25" s="90"/>
      <c r="G25" s="90"/>
      <c r="H25" s="90"/>
      <c r="I25" s="90" t="s">
        <v>24</v>
      </c>
      <c r="J25" s="90"/>
      <c r="K25" s="90"/>
      <c r="L25" s="90"/>
      <c r="M25" s="90"/>
      <c r="N25" s="90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4">
        <f>I27+D27</f>
        <v>90</v>
      </c>
      <c r="C27" s="94"/>
      <c r="D27" s="94">
        <f>G27+F27</f>
        <v>22</v>
      </c>
      <c r="E27" s="94"/>
      <c r="F27" s="30">
        <v>0</v>
      </c>
      <c r="G27" s="95">
        <v>22</v>
      </c>
      <c r="H27" s="95"/>
      <c r="I27" s="94">
        <f>K27+L27+M27</f>
        <v>68</v>
      </c>
      <c r="J27" s="94"/>
      <c r="K27" s="30">
        <v>57</v>
      </c>
      <c r="L27" s="30">
        <v>11</v>
      </c>
      <c r="M27" s="59">
        <v>0</v>
      </c>
      <c r="N27" s="15" t="s">
        <v>11</v>
      </c>
      <c r="O27" s="7"/>
      <c r="S27" s="19"/>
    </row>
    <row r="28" spans="1:19" ht="15.95" customHeight="1">
      <c r="A28" s="5"/>
      <c r="B28" s="94">
        <f>I28+D28</f>
        <v>85</v>
      </c>
      <c r="C28" s="94"/>
      <c r="D28" s="94">
        <f>F28+G28</f>
        <v>21</v>
      </c>
      <c r="E28" s="94"/>
      <c r="F28" s="31">
        <v>0</v>
      </c>
      <c r="G28" s="95">
        <v>21</v>
      </c>
      <c r="H28" s="95"/>
      <c r="I28" s="94">
        <f>K28+L28+M28</f>
        <v>64</v>
      </c>
      <c r="J28" s="94"/>
      <c r="K28" s="31">
        <v>52</v>
      </c>
      <c r="L28" s="31">
        <v>0</v>
      </c>
      <c r="M28" s="62">
        <v>12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7" t="s">
        <v>50</v>
      </c>
      <c r="C30" s="87"/>
      <c r="D30" s="87"/>
      <c r="E30" s="87"/>
      <c r="F30" s="87"/>
      <c r="G30" s="87"/>
      <c r="H30" s="87"/>
      <c r="I30" s="87"/>
      <c r="J30" s="87"/>
      <c r="K30" s="87"/>
      <c r="L30" s="87"/>
      <c r="M30" s="87"/>
      <c r="N30" s="87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4">
        <f>L32+J32</f>
        <v>6081</v>
      </c>
      <c r="C32" s="94"/>
      <c r="D32" s="78"/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3981</v>
      </c>
      <c r="M32" s="78"/>
      <c r="N32" s="11" t="s">
        <v>49</v>
      </c>
      <c r="O32" s="7"/>
    </row>
    <row r="33" spans="1:33" ht="17.100000000000001" customHeight="1">
      <c r="A33" s="5"/>
      <c r="B33" s="96"/>
      <c r="C33" s="96"/>
      <c r="D33" s="51"/>
      <c r="E33" s="52" t="s">
        <v>69</v>
      </c>
      <c r="F33" s="97">
        <v>0.72</v>
      </c>
      <c r="G33" s="98"/>
      <c r="H33" s="97">
        <v>0.66</v>
      </c>
      <c r="I33" s="98"/>
      <c r="J33" s="97">
        <v>0.7</v>
      </c>
      <c r="K33" s="98"/>
      <c r="L33" s="97">
        <v>0.87</v>
      </c>
      <c r="M33" s="98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7" t="s">
        <v>57</v>
      </c>
      <c r="C35" s="87"/>
      <c r="D35" s="87"/>
      <c r="E35" s="87"/>
      <c r="F35" s="87"/>
      <c r="G35" s="87"/>
      <c r="H35" s="87"/>
      <c r="I35" s="87"/>
      <c r="J35" s="87"/>
      <c r="K35" s="87"/>
      <c r="L35" s="87"/>
      <c r="M35" s="87"/>
      <c r="N35" s="87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27400</v>
      </c>
      <c r="C37" s="77"/>
      <c r="D37" s="25">
        <v>100</v>
      </c>
      <c r="E37" s="78">
        <v>7000</v>
      </c>
      <c r="F37" s="78"/>
      <c r="G37" s="78">
        <v>10000</v>
      </c>
      <c r="H37" s="78"/>
      <c r="I37" s="25">
        <v>5000</v>
      </c>
      <c r="J37" s="25">
        <v>1100</v>
      </c>
      <c r="K37" s="25">
        <v>200</v>
      </c>
      <c r="L37" s="25">
        <v>100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>
        <v>960</v>
      </c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75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75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0" t="s">
        <v>73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70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76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74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77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71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72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4" t="s">
        <v>68</v>
      </c>
      <c r="C52" s="105"/>
      <c r="D52" s="105"/>
      <c r="E52" s="105"/>
      <c r="F52" s="105"/>
      <c r="G52" s="105"/>
      <c r="H52" s="105"/>
      <c r="I52" s="105"/>
      <c r="J52" s="105"/>
      <c r="K52" s="105"/>
      <c r="L52" s="105"/>
      <c r="M52" s="105"/>
      <c r="N52" s="106"/>
      <c r="O52" s="7"/>
    </row>
    <row r="53" spans="1:23" ht="15.75" customHeight="1">
      <c r="A53" s="5"/>
      <c r="B53" s="102" t="s">
        <v>78</v>
      </c>
      <c r="C53" s="102"/>
      <c r="D53" s="102"/>
      <c r="E53" s="102"/>
      <c r="F53" s="102"/>
      <c r="G53" s="102"/>
      <c r="H53" s="102"/>
      <c r="I53" s="102"/>
      <c r="J53" s="102"/>
      <c r="K53" s="102"/>
      <c r="L53" s="102"/>
      <c r="M53" s="103"/>
      <c r="N53" s="65">
        <v>-1</v>
      </c>
      <c r="O53" s="7"/>
    </row>
    <row r="54" spans="1:23" ht="14.25" customHeight="1">
      <c r="A54" s="5"/>
      <c r="B54" s="102" t="s">
        <v>80</v>
      </c>
      <c r="C54" s="102"/>
      <c r="D54" s="102"/>
      <c r="E54" s="102"/>
      <c r="F54" s="102"/>
      <c r="G54" s="102"/>
      <c r="H54" s="102"/>
      <c r="I54" s="102"/>
      <c r="J54" s="102"/>
      <c r="K54" s="102"/>
      <c r="L54" s="102"/>
      <c r="M54" s="103"/>
      <c r="N54" s="65">
        <v>-2</v>
      </c>
      <c r="O54" s="7"/>
    </row>
    <row r="55" spans="1:23" ht="14.25" customHeight="1">
      <c r="A55" s="5"/>
      <c r="B55" s="101" t="s">
        <v>81</v>
      </c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7"/>
      <c r="C56" s="108"/>
      <c r="D56" s="108"/>
      <c r="E56" s="108"/>
      <c r="F56" s="108"/>
      <c r="G56" s="108"/>
      <c r="H56" s="108"/>
      <c r="I56" s="108"/>
      <c r="J56" s="108"/>
      <c r="K56" s="108"/>
      <c r="L56" s="108"/>
      <c r="M56" s="109"/>
      <c r="N56" s="65">
        <v>-4</v>
      </c>
      <c r="O56" s="7"/>
    </row>
    <row r="57" spans="1:23" ht="14.25" customHeight="1">
      <c r="A57" s="5"/>
      <c r="B57" s="72" t="s">
        <v>79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99"/>
      <c r="E58" s="99"/>
      <c r="F58" s="99"/>
      <c r="G58" s="99"/>
      <c r="H58" s="99"/>
      <c r="I58" s="99"/>
      <c r="J58" s="99"/>
      <c r="K58" s="99"/>
      <c r="L58" s="99"/>
      <c r="M58" s="99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2026-04-19T23:25:33Z</dcterms:modified>
  <cp:contentStatus/>
</cp:coreProperties>
</file>