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<sst xmlns="http://schemas.openxmlformats.org/spreadsheetml/2006/main" count="101" uniqueCount="80">
  <si>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</si>
  <si>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</si>
  <si>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</si>
  <si>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</si>
  <si>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</si>
  <si>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</si>
  <si>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</si>
  <si>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</si>
  <si>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</si>
  <si>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</si>
  <si>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</si>
  <si>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</si>
  <si>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</si>
  <si>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</si>
  <si>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</si>
  <si>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</si>
  <si>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</si>
  <si>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</si>
  <si>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</si>
  <si>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</si>
  <si>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</si>
  <si>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</si>
  <si>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</si>
  <si>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</si>
  <si>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</si>
  <si>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</si>
  <si>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</si>
  <si>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</si>
  <si>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</si>
  <si>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</si>
  <si>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</si>
  <si>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</si>
  <si>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</si>
  <si>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</si>
  <si>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</si>
  <si>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</si>
  <si>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</si>
  <si>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</si>
  <si>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</si>
  <si>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</si>
  <si>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</si>
  <si>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</si>
  <si>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</si>
  <si>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</si>
  <si>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</si>
  <si>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</si>
  <si>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</si>
  <si>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</si>
  <si>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</si>
  <si>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</si>
  <si>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</si>
  <si>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</si>
  <si>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</si>
  <si>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</si>
  <si>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</si>
  <si>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</si>
  <si>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</si>
  <si>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</si>
  <si>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</si>
  <si>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</si>
  <si>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</si>
  <si>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</si>
  <si>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</si>
  <si>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</si>
  <si>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</si>
  <si>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</si>
  <si>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</si>
  <si>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</si>
  <si>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</si>
  <si>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</si>
  <si>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</si>
  <si>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</si>
  <si>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</si>
  <si>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</si>
  <si>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المياه المحلاه المرسلة من تحلية ليوريا إلى خزانات 11/12 مستمر بمعدل 10 طن / الساعة .</t>
  </si>
  <si>
    <t xml:space="preserve">  </t>
  </si>
  <si>
    <t xml:space="preserve">كمية البخار المرسلة من مصنع اليوريا إلى مصنع الأمونيا الأول 9 طن / الساعة . </t>
  </si>
  <si>
    <t>تحت عمليات التشغيل في إنتظارالبخـــــــــار .</t>
  </si>
  <si>
    <t>تم إيقافها عند الساعة 04:00 وذلك لغرض تنظيف الرشاشات spray nozzles</t>
  </si>
  <si>
    <t>علي خط الانتاج الي خزان 1360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</si>
</sst>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136</v>
      </c>
      <c r="D10" s="25">
        <v>34</v>
      </c>
      <c r="E10" s="25"/>
      <c r="F10" s="25"/>
      <c r="G10" s="25">
        <v>20</v>
      </c>
      <c r="H10" s="11">
        <v>7</v>
      </c>
      <c r="I10" s="8">
        <v>0</v>
      </c>
      <c r="J10" s="23">
        <v>0</v>
      </c>
      <c r="K10" s="25">
        <v>4.5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4.4000000000000004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810</v>
      </c>
      <c r="J13" s="25">
        <v>54</v>
      </c>
      <c r="K13" s="25">
        <v>15</v>
      </c>
      <c r="L13" s="25">
        <v>20</v>
      </c>
      <c r="M13" s="25">
        <v>9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5482</v>
      </c>
      <c r="C16" s="11">
        <f>C9+C10+C11</f>
        <v>616</v>
      </c>
      <c r="D16" s="11">
        <f>SUM(D9:D15)</f>
        <v>54</v>
      </c>
      <c r="E16" s="25">
        <v>2.2000000000000002</v>
      </c>
      <c r="F16" s="11">
        <f>SUM(F12,F10,F11)</f>
        <v>11</v>
      </c>
      <c r="G16" s="11">
        <f>SUM(G9:G11)</f>
        <v>20</v>
      </c>
      <c r="H16" s="13" t="s">
        <v>14</v>
      </c>
      <c r="I16" s="11">
        <f>I9+I10+I11+I12+I13+I14+I15</f>
        <v>4866</v>
      </c>
      <c r="J16" s="11">
        <f>J9+J10+J11+J12+J13+J14+J15</f>
        <v>223</v>
      </c>
      <c r="K16" s="25">
        <v>7.3</v>
      </c>
      <c r="L16" s="11">
        <f>SUM(L9:L15)</f>
        <v>80</v>
      </c>
      <c r="M16" s="11">
        <f>SUM(M9:M15)</f>
        <v>81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5482</v>
      </c>
      <c r="C21" s="25">
        <v>0</v>
      </c>
      <c r="D21" s="25">
        <v>20</v>
      </c>
      <c r="E21" s="25"/>
      <c r="F21" s="25">
        <v>616</v>
      </c>
      <c r="G21" s="78">
        <v>432</v>
      </c>
      <c r="H21" s="78"/>
      <c r="I21" s="25"/>
      <c r="J21" s="25">
        <v>0</v>
      </c>
      <c r="K21" s="25">
        <v>0</v>
      </c>
      <c r="L21" s="91">
        <v>4414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0.75</v>
      </c>
      <c r="F22" s="56">
        <v>0.62</v>
      </c>
      <c r="G22" s="89"/>
      <c r="H22" s="90"/>
      <c r="I22" s="49"/>
      <c r="J22" s="50"/>
      <c r="K22" s="50"/>
      <c r="L22" s="37">
        <v>0.37</v>
      </c>
      <c r="M22" s="37">
        <v>0.36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95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84</v>
      </c>
      <c r="J27" s="94"/>
      <c r="K27" s="30">
        <v>49</v>
      </c>
      <c r="L27" s="30">
        <v>9</v>
      </c>
      <c r="M27" s="59">
        <v>26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88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78</v>
      </c>
      <c r="J28" s="94"/>
      <c r="K28" s="31">
        <v>50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0.76</v>
      </c>
      <c r="G33" s="98"/>
      <c r="H33" s="97">
        <v>0.67</v>
      </c>
      <c r="I33" s="98"/>
      <c r="J33" s="97">
        <v>0.68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75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2026-02-18T03:44:17Z</dcterms:modified>
  <cp:contentStatus/>
</cp:coreProperties>
</file>