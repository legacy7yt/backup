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<sst xmlns="http://schemas.openxmlformats.org/spreadsheetml/2006/main" count="101" uniqueCount="81">
  <si>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</si>
  <si>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</si>
  <si>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</si>
  <si>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</si>
  <si>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</si>
  <si>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</si>
  <si>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</si>
  <si>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</si>
  <si>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</si>
  <si>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</si>
  <si>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</si>
  <si>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</si>
  <si>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</si>
  <si>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</si>
  <si>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</si>
  <si>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</si>
  <si>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</si>
  <si>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</si>
  <si>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</si>
  <si>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</si>
  <si>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</si>
  <si>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</si>
  <si>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</si>
  <si>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</si>
  <si>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</si>
  <si>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</si>
  <si>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</si>
  <si>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</si>
  <si>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</si>
  <si>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</si>
  <si>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</si>
  <si>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</si>
  <si>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</si>
  <si>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</si>
  <si>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</si>
  <si>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</si>
  <si>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</si>
  <si>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</si>
  <si>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</si>
  <si>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</si>
  <si>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</si>
  <si>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</si>
  <si>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</si>
  <si>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</si>
  <si>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</si>
  <si>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</si>
  <si>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</si>
  <si>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</si>
  <si>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</si>
  <si>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</si>
  <si>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</si>
  <si>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</si>
  <si>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</si>
  <si>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</si>
  <si>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</si>
  <si>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</si>
  <si>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</si>
  <si>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</si>
  <si>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</si>
  <si>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</si>
  <si>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</si>
  <si>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</si>
  <si>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</si>
  <si>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</si>
  <si>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</si>
  <si>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</si>
  <si>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</si>
  <si>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</si>
  <si>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</si>
  <si>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</si>
  <si>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</si>
  <si>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</si>
  <si>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</si>
  <si>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 xml:space="preserve">على خط الإنتاج إلى خزانات 11/12. </t>
  </si>
  <si>
    <t>حماتة محمد</t>
  </si>
  <si>
    <t>جاري ارسال5طن من البخار من مصانع اليوريا الي التحلية الثانية.</t>
  </si>
  <si>
    <t>علي خط الانتاج الي خزان 1360.</t>
  </si>
  <si>
    <t xml:space="preserve"> علي خط الانتاج الي خزان 1360 .</t>
  </si>
  <si>
    <t xml:space="preserve">تم ايقاف المياه المحلاه المرسلة من تحلية اليوريا عند الساعة16:15 **تم البدء في ارسال المياه المحلاه  من خزان 1360 إلى خزانات 11/12 عند الساعة 07:30 بسبب ارتفاع المنسوب فيه </t>
  </si>
  <si>
    <t>18/12/2025</t>
  </si>
  <si>
    <t>تم تشغيلها الساعة 17:00 دخلت على خط انتاج السكنيةالساعة 18:50*دخلت على خط الانتاج الى خزنات 11/12عند الساعة 22:00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</si>
</sst>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Normal="100" zoomScalePageLayoutView="120" workbookViewId="0">
      <selection activeCell="B49" sqref="B49:M4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 t="s">
        <v>79</v>
      </c>
      <c r="C5" s="86"/>
      <c r="D5" s="35" t="s">
        <v>4</v>
      </c>
      <c r="G5" s="87" t="s">
        <v>5</v>
      </c>
      <c r="H5" s="87"/>
      <c r="I5" s="87"/>
      <c r="L5" s="89">
        <v>0</v>
      </c>
      <c r="M5" s="89"/>
      <c r="N5" s="19" t="s">
        <v>6</v>
      </c>
      <c r="O5" s="7"/>
    </row>
    <row r="6" spans="1:16" ht="18" customHeight="1">
      <c r="A6" s="5"/>
      <c r="B6" s="88" t="s">
        <v>7</v>
      </c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3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17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5400</v>
      </c>
      <c r="C16" s="11">
        <f>C9+C10+C11</f>
        <v>1296</v>
      </c>
      <c r="D16" s="11">
        <f>SUM(D9:D15)</f>
        <v>54</v>
      </c>
      <c r="E16" s="25">
        <v>3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4104</v>
      </c>
      <c r="J16" s="11">
        <f>J9+J10+J11+J12+J13+J14+J15</f>
        <v>171</v>
      </c>
      <c r="K16" s="25">
        <v>4.5999999999999996</v>
      </c>
      <c r="L16" s="11">
        <f>SUM(L9:L15)</f>
        <v>60</v>
      </c>
      <c r="M16" s="11">
        <f>SUM(M9:M15)</f>
        <v>89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8" t="s">
        <v>47</v>
      </c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4" t="s">
        <v>18</v>
      </c>
      <c r="H19" s="94"/>
      <c r="I19" s="77" t="s">
        <v>19</v>
      </c>
      <c r="J19" s="94" t="s">
        <v>20</v>
      </c>
      <c r="K19" s="94"/>
      <c r="L19" s="94" t="s">
        <v>21</v>
      </c>
      <c r="M19" s="94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5400</v>
      </c>
      <c r="C21" s="25">
        <v>0</v>
      </c>
      <c r="D21" s="25">
        <v>20</v>
      </c>
      <c r="E21" s="25">
        <v>0</v>
      </c>
      <c r="F21" s="25">
        <v>1296</v>
      </c>
      <c r="G21" s="78"/>
      <c r="H21" s="78"/>
      <c r="I21" s="25">
        <v>300</v>
      </c>
      <c r="J21" s="25">
        <v>0</v>
      </c>
      <c r="K21" s="25">
        <v>0</v>
      </c>
      <c r="L21" s="92">
        <v>4084</v>
      </c>
      <c r="M21" s="93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0.94</v>
      </c>
      <c r="G22" s="90"/>
      <c r="H22" s="91"/>
      <c r="I22" s="49"/>
      <c r="J22" s="50"/>
      <c r="K22" s="50"/>
      <c r="L22" s="37">
        <v>0.79</v>
      </c>
      <c r="M22" s="37">
        <v>0.8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8" t="s">
        <v>48</v>
      </c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7"/>
    </row>
    <row r="25" spans="1:19" ht="18" customHeight="1">
      <c r="A25" s="5"/>
      <c r="B25" s="77" t="s">
        <v>52</v>
      </c>
      <c r="C25" s="77"/>
      <c r="D25" s="91" t="s">
        <v>23</v>
      </c>
      <c r="E25" s="91"/>
      <c r="F25" s="91"/>
      <c r="G25" s="91"/>
      <c r="H25" s="91"/>
      <c r="I25" s="91" t="s">
        <v>24</v>
      </c>
      <c r="J25" s="91"/>
      <c r="K25" s="91"/>
      <c r="L25" s="91"/>
      <c r="M25" s="91"/>
      <c r="N25" s="91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5">
        <f>I27+D27</f>
        <v>92</v>
      </c>
      <c r="C27" s="95"/>
      <c r="D27" s="95">
        <f>G27+F27</f>
        <v>22</v>
      </c>
      <c r="E27" s="95"/>
      <c r="F27" s="30">
        <v>0</v>
      </c>
      <c r="G27" s="96">
        <v>22</v>
      </c>
      <c r="H27" s="96"/>
      <c r="I27" s="95">
        <f>K27+L27+M27</f>
        <v>70</v>
      </c>
      <c r="J27" s="95"/>
      <c r="K27" s="30">
        <v>19</v>
      </c>
      <c r="L27" s="30">
        <v>5</v>
      </c>
      <c r="M27" s="59">
        <v>46</v>
      </c>
      <c r="N27" s="15" t="s">
        <v>11</v>
      </c>
      <c r="O27" s="7"/>
      <c r="S27" s="19"/>
    </row>
    <row r="28" spans="1:19" ht="15.95" customHeight="1">
      <c r="A28" s="5"/>
      <c r="B28" s="95">
        <f>I28+D28</f>
        <v>85</v>
      </c>
      <c r="C28" s="95"/>
      <c r="D28" s="95">
        <f>F28+G28</f>
        <v>21</v>
      </c>
      <c r="E28" s="95"/>
      <c r="F28" s="31">
        <v>0</v>
      </c>
      <c r="G28" s="96">
        <v>21</v>
      </c>
      <c r="H28" s="96"/>
      <c r="I28" s="95">
        <f>K28+L28+M28</f>
        <v>64</v>
      </c>
      <c r="J28" s="95"/>
      <c r="K28" s="31">
        <v>30</v>
      </c>
      <c r="L28" s="31">
        <v>0</v>
      </c>
      <c r="M28" s="62">
        <v>34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8" t="s">
        <v>50</v>
      </c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5">
        <f>L32+J32</f>
        <v>6805</v>
      </c>
      <c r="C32" s="95"/>
      <c r="D32" s="78">
        <v>0</v>
      </c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4705</v>
      </c>
      <c r="M32" s="78"/>
      <c r="N32" s="11" t="s">
        <v>49</v>
      </c>
      <c r="O32" s="7"/>
    </row>
    <row r="33" spans="1:33" ht="17.100000000000001" customHeight="1">
      <c r="A33" s="5"/>
      <c r="B33" s="97"/>
      <c r="C33" s="97"/>
      <c r="D33" s="51"/>
      <c r="E33" s="52" t="s">
        <v>70</v>
      </c>
      <c r="F33" s="98">
        <v>0</v>
      </c>
      <c r="G33" s="99"/>
      <c r="H33" s="98">
        <v>0.85</v>
      </c>
      <c r="I33" s="99"/>
      <c r="J33" s="98">
        <v>0.79</v>
      </c>
      <c r="K33" s="99"/>
      <c r="L33" s="98">
        <v>0.96</v>
      </c>
      <c r="M33" s="9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8" t="s">
        <v>57</v>
      </c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7100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810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76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77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1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80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8" t="s">
        <v>68</v>
      </c>
      <c r="C52" s="109"/>
      <c r="D52" s="109"/>
      <c r="E52" s="109"/>
      <c r="F52" s="109"/>
      <c r="G52" s="109"/>
      <c r="H52" s="109"/>
      <c r="I52" s="109"/>
      <c r="J52" s="109"/>
      <c r="K52" s="109"/>
      <c r="L52" s="109"/>
      <c r="M52" s="109"/>
      <c r="N52" s="110"/>
      <c r="O52" s="7"/>
    </row>
    <row r="53" spans="1:23" ht="15.75" customHeight="1">
      <c r="A53" s="5"/>
      <c r="B53" s="103" t="s">
        <v>78</v>
      </c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5"/>
      <c r="N53" s="65">
        <v>-1</v>
      </c>
      <c r="O53" s="7"/>
    </row>
    <row r="54" spans="1:23" ht="14.25" customHeight="1">
      <c r="A54" s="5"/>
      <c r="B54" s="106" t="s">
        <v>75</v>
      </c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7"/>
      <c r="N54" s="65">
        <v>-2</v>
      </c>
      <c r="O54" s="7"/>
    </row>
    <row r="55" spans="1:23" ht="14.25" customHeight="1">
      <c r="A55" s="5"/>
      <c r="B55" s="102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3"/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5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67" t="s">
        <v>40</v>
      </c>
      <c r="O58" s="38"/>
    </row>
    <row r="59" spans="1:23" ht="15.75" thickTop="1"/>
  </sheetData>
  <sheetProtection algorithmName="SHA-512" hashValue="kPdltwDaZG/lx2R1+OoyTq4N4WHOvX7hlkuhZPJS7CAj2iNaJXwtRrak/yqtlLc26G0EEV7txKHLawsBID3rLQ==" saltValue="lJp3Pmmzfl9+2U+cX1SxiA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2025-12-18T21:49:22Z</dcterms:modified>
  <cp:contentStatus/>
</cp:coreProperties>
</file>