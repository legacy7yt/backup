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<sst xmlns="http://schemas.openxmlformats.org/spreadsheetml/2006/main" count="102" uniqueCount="82">
  <si>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</si>
  <si>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</si>
  <si>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</si>
  <si>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</si>
  <si>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</si>
  <si>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</si>
  <si>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</si>
  <si>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</si>
  <si>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</si>
  <si>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</si>
  <si>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</si>
  <si>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</si>
  <si>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</si>
  <si>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</si>
  <si>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</si>
  <si>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</si>
  <si>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</si>
  <si>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</si>
  <si>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</si>
  <si>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</si>
  <si>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</si>
  <si>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</si>
  <si>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</si>
  <si>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</si>
  <si>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</si>
  <si>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</si>
  <si>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</si>
  <si>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</si>
  <si>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</si>
  <si>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</si>
  <si>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</si>
  <si>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</si>
  <si>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</si>
  <si>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</si>
  <si>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</si>
  <si>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</si>
  <si>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</si>
  <si>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</si>
  <si>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</si>
  <si>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</si>
  <si>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</si>
  <si>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</si>
  <si>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</si>
  <si>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</si>
  <si>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</si>
  <si>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</si>
  <si>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</si>
  <si>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</si>
  <si>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</si>
  <si>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</si>
  <si>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</si>
  <si>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</si>
  <si>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</si>
  <si>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</si>
  <si>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</si>
  <si>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</si>
  <si>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</si>
  <si>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</si>
  <si>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</si>
  <si>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</si>
  <si>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</si>
  <si>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</si>
  <si>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</si>
  <si>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</si>
  <si>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</si>
  <si>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</si>
  <si>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</si>
  <si>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</si>
  <si>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</si>
  <si>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</si>
  <si>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</si>
  <si>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 xml:space="preserve">على خط الإنتاج إلى خزانات 11/12 . </t>
  </si>
  <si>
    <t>علي خط الانتاج الي خزانات 11/12.</t>
  </si>
  <si>
    <t>.في انتظار وصول باقي المواد لتنفيذ اعمال العمرة السنوية</t>
  </si>
  <si>
    <t>عماد بيان</t>
  </si>
  <si>
    <t>تحت اعمال الصيانة .</t>
  </si>
  <si>
    <t>علي خط الانتاج الي الخزانات 11/12.</t>
  </si>
  <si>
    <t xml:space="preserve">المياه المحلاه المرسلة من تحلية اليوريا لا زالت مستمرة بمعدل 65 طن/الساعة . </t>
  </si>
  <si>
    <t>متوقفة لغرض الصيانة .</t>
  </si>
  <si>
    <t>البدء في إرسال المياه المحلاه من خزان 11/12 إلى خزان 1360 بمعدل 40 طن/الساعة منذ الساعة 08:30 .</t>
  </si>
  <si>
    <t>الوحدة رقم 7 توقفت عند الساعة 07:30 لغرض الغسيل والتنظيف بالحامض.</t>
  </si>
  <si>
    <t>الوحدة رقم 8 توقفت عند الساعة 04:00 بسبب عطل مفاجيئ في مضخة الـ BOOSTER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</si>
</sst>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8" zoomScale="120" zoomScaleNormal="120" zoomScalePageLayoutView="120" workbookViewId="0">
      <selection activeCell="B33" sqref="B33:C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v>45973</v>
      </c>
      <c r="C5" s="86"/>
      <c r="D5" s="35" t="s">
        <v>4</v>
      </c>
      <c r="G5" s="87" t="s">
        <v>5</v>
      </c>
      <c r="H5" s="87"/>
      <c r="I5" s="87"/>
      <c r="L5" s="89">
        <v>0</v>
      </c>
      <c r="M5" s="89"/>
      <c r="N5" s="19" t="s">
        <v>6</v>
      </c>
      <c r="O5" s="7"/>
    </row>
    <row r="6" spans="1:16" ht="18" customHeight="1">
      <c r="A6" s="5"/>
      <c r="B6" s="88" t="s">
        <v>7</v>
      </c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238</v>
      </c>
      <c r="D10" s="25">
        <v>34</v>
      </c>
      <c r="E10" s="25">
        <v>3</v>
      </c>
      <c r="F10" s="25">
        <v>0</v>
      </c>
      <c r="G10" s="25">
        <v>17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80</v>
      </c>
      <c r="D11" s="25">
        <v>20</v>
      </c>
      <c r="E11" s="25">
        <v>2.5</v>
      </c>
      <c r="F11" s="25">
        <v>0</v>
      </c>
      <c r="G11" s="25">
        <v>20</v>
      </c>
      <c r="H11" s="11">
        <v>8</v>
      </c>
      <c r="I11" s="8">
        <f>J11*(24-M11)</f>
        <v>1560</v>
      </c>
      <c r="J11" s="25">
        <v>65</v>
      </c>
      <c r="K11" s="25">
        <v>5.6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4.3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4422</v>
      </c>
      <c r="C16" s="11">
        <f>C9+C10+C11</f>
        <v>318</v>
      </c>
      <c r="D16" s="11">
        <f>SUM(D9:D15)</f>
        <v>54</v>
      </c>
      <c r="E16" s="25"/>
      <c r="F16" s="11">
        <f>SUM(F12,F10,F11)</f>
        <v>0</v>
      </c>
      <c r="G16" s="11">
        <f>SUM(G9:G11)</f>
        <v>37</v>
      </c>
      <c r="H16" s="13" t="s">
        <v>14</v>
      </c>
      <c r="I16" s="11">
        <f>I9+I10+I11+I12+I13+I14+I15</f>
        <v>4104</v>
      </c>
      <c r="J16" s="11">
        <f>J9+J10+J11+J12+J13+J14+J15</f>
        <v>171</v>
      </c>
      <c r="K16" s="25"/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8" t="s">
        <v>47</v>
      </c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4" t="s">
        <v>18</v>
      </c>
      <c r="H19" s="94"/>
      <c r="I19" s="77" t="s">
        <v>19</v>
      </c>
      <c r="J19" s="94" t="s">
        <v>20</v>
      </c>
      <c r="K19" s="94"/>
      <c r="L19" s="94" t="s">
        <v>21</v>
      </c>
      <c r="M19" s="94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4422</v>
      </c>
      <c r="C21" s="25">
        <v>0</v>
      </c>
      <c r="D21" s="25">
        <v>20</v>
      </c>
      <c r="E21" s="25"/>
      <c r="F21" s="25">
        <v>938</v>
      </c>
      <c r="G21" s="78"/>
      <c r="H21" s="78"/>
      <c r="I21" s="25"/>
      <c r="J21" s="25">
        <v>0</v>
      </c>
      <c r="K21" s="25">
        <v>0</v>
      </c>
      <c r="L21" s="92">
        <v>3464</v>
      </c>
      <c r="M21" s="93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0.6</v>
      </c>
      <c r="G22" s="90"/>
      <c r="H22" s="91"/>
      <c r="I22" s="49"/>
      <c r="J22" s="50"/>
      <c r="K22" s="50"/>
      <c r="L22" s="37">
        <v>0.95</v>
      </c>
      <c r="M22" s="37">
        <v>0.96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8" t="s">
        <v>48</v>
      </c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7"/>
    </row>
    <row r="25" spans="1:19" ht="18" customHeight="1">
      <c r="A25" s="5"/>
      <c r="B25" s="77" t="s">
        <v>52</v>
      </c>
      <c r="C25" s="77"/>
      <c r="D25" s="91" t="s">
        <v>23</v>
      </c>
      <c r="E25" s="91"/>
      <c r="F25" s="91"/>
      <c r="G25" s="91"/>
      <c r="H25" s="91"/>
      <c r="I25" s="91" t="s">
        <v>24</v>
      </c>
      <c r="J25" s="91"/>
      <c r="K25" s="91"/>
      <c r="L25" s="91"/>
      <c r="M25" s="91"/>
      <c r="N25" s="91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5">
        <f>I27+D27</f>
        <v>64</v>
      </c>
      <c r="C27" s="95"/>
      <c r="D27" s="95">
        <f>G27+F27</f>
        <v>0</v>
      </c>
      <c r="E27" s="95"/>
      <c r="F27" s="30">
        <v>0</v>
      </c>
      <c r="G27" s="96">
        <v>0</v>
      </c>
      <c r="H27" s="96"/>
      <c r="I27" s="95">
        <f>K27+L27+M27</f>
        <v>64</v>
      </c>
      <c r="J27" s="95"/>
      <c r="K27" s="30">
        <v>22</v>
      </c>
      <c r="L27" s="30">
        <v>0</v>
      </c>
      <c r="M27" s="59">
        <v>42</v>
      </c>
      <c r="N27" s="15" t="s">
        <v>11</v>
      </c>
      <c r="O27" s="7"/>
      <c r="S27" s="19"/>
    </row>
    <row r="28" spans="1:19" ht="15.95" customHeight="1">
      <c r="A28" s="5"/>
      <c r="B28" s="95">
        <f>I28+D28</f>
        <v>57</v>
      </c>
      <c r="C28" s="95"/>
      <c r="D28" s="95">
        <f>F28+G28</f>
        <v>0</v>
      </c>
      <c r="E28" s="95"/>
      <c r="F28" s="31">
        <v>0</v>
      </c>
      <c r="G28" s="96">
        <v>0</v>
      </c>
      <c r="H28" s="96"/>
      <c r="I28" s="95">
        <f>K28+L28+M28</f>
        <v>57</v>
      </c>
      <c r="J28" s="95"/>
      <c r="K28" s="31">
        <v>27</v>
      </c>
      <c r="L28" s="31">
        <v>0</v>
      </c>
      <c r="M28" s="62">
        <v>30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8" t="s">
        <v>50</v>
      </c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5">
        <f>L32+J32</f>
        <v>7567</v>
      </c>
      <c r="C32" s="95"/>
      <c r="D32" s="78">
        <v>0</v>
      </c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5467</v>
      </c>
      <c r="M32" s="78"/>
      <c r="N32" s="11" t="s">
        <v>49</v>
      </c>
      <c r="O32" s="7"/>
    </row>
    <row r="33" spans="1:33" ht="17.100000000000001" customHeight="1">
      <c r="A33" s="5"/>
      <c r="B33" s="97"/>
      <c r="C33" s="97"/>
      <c r="D33" s="51"/>
      <c r="E33" s="52" t="s">
        <v>70</v>
      </c>
      <c r="F33" s="98">
        <v>0</v>
      </c>
      <c r="G33" s="99"/>
      <c r="H33" s="98">
        <v>0.83</v>
      </c>
      <c r="I33" s="99"/>
      <c r="J33" s="98">
        <v>0.78</v>
      </c>
      <c r="K33" s="99"/>
      <c r="L33" s="98">
        <v>0.96</v>
      </c>
      <c r="M33" s="9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8" t="s">
        <v>57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23650</v>
      </c>
      <c r="C37" s="77"/>
      <c r="D37" s="25">
        <v>100</v>
      </c>
      <c r="E37" s="78">
        <v>7200</v>
      </c>
      <c r="F37" s="78"/>
      <c r="G37" s="78">
        <v>10000</v>
      </c>
      <c r="H37" s="78"/>
      <c r="I37" s="25">
        <v>1200</v>
      </c>
      <c r="J37" s="25">
        <v>1150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1435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78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78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1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73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72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76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75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8" t="s">
        <v>68</v>
      </c>
      <c r="C52" s="109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10"/>
      <c r="O52" s="7"/>
    </row>
    <row r="53" spans="1:23" ht="15.75" customHeight="1">
      <c r="A53" s="5"/>
      <c r="B53" s="103" t="s">
        <v>77</v>
      </c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5"/>
      <c r="N53" s="65">
        <v>-1</v>
      </c>
      <c r="O53" s="7"/>
    </row>
    <row r="54" spans="1:23" ht="14.25" customHeight="1">
      <c r="A54" s="5"/>
      <c r="B54" s="106" t="s">
        <v>79</v>
      </c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7"/>
      <c r="N54" s="65">
        <v>-2</v>
      </c>
      <c r="O54" s="7"/>
    </row>
    <row r="55" spans="1:23" ht="14.25" customHeight="1">
      <c r="A55" s="5"/>
      <c r="B55" s="102" t="s">
        <v>80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3" t="s">
        <v>81</v>
      </c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5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2025-12-11T21:48:09Z</dcterms:modified>
  <cp:contentStatus/>
</cp:coreProperties>
</file>